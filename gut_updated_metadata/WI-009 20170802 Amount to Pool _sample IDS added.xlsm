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Justin/Research/pcrbias/data/metadata_added_variables/"/>
    </mc:Choice>
  </mc:AlternateContent>
  <bookViews>
    <workbookView xWindow="19560" yWindow="460" windowWidth="18840" windowHeight="23540" tabRatio="500" activeTab="2"/>
  </bookViews>
  <sheets>
    <sheet name="Picogreen Results" sheetId="12" r:id="rId1"/>
    <sheet name="Intermediate Results" sheetId="7" r:id="rId2"/>
    <sheet name="Amplicon Pooling" sheetId="9" r:id="rId3"/>
    <sheet name="Final Sample Prep" sheetId="10" r:id="rId4"/>
  </sheets>
  <definedNames>
    <definedName name="final">'Final Sample Prep'!$B$2</definedName>
    <definedName name="_xlnm.Print_Titles" localSheetId="2">'Amplicon Pooling'!$9:$9</definedName>
  </definedNames>
  <calcPr calcId="162913"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4" i="10" l="1"/>
  <c r="B8" i="10"/>
  <c r="B9" i="10"/>
  <c r="B152" i="9"/>
  <c r="B144" i="9"/>
  <c r="B136" i="9"/>
  <c r="B128" i="9"/>
  <c r="B120" i="9"/>
  <c r="B112" i="9"/>
  <c r="B104" i="9"/>
  <c r="B95" i="9"/>
  <c r="B91" i="9"/>
  <c r="B87" i="9"/>
  <c r="B83" i="9"/>
  <c r="C363" i="7"/>
  <c r="C362" i="7"/>
  <c r="C361" i="7"/>
  <c r="C360" i="7"/>
  <c r="C359" i="7"/>
  <c r="C358" i="7"/>
  <c r="C357" i="7"/>
  <c r="C356" i="7"/>
  <c r="C355" i="7"/>
  <c r="C354" i="7"/>
  <c r="C353" i="7"/>
  <c r="C352" i="7"/>
  <c r="C351" i="7"/>
  <c r="C350" i="7"/>
  <c r="C349" i="7"/>
  <c r="C348" i="7"/>
  <c r="C347" i="7"/>
  <c r="C346" i="7"/>
  <c r="C345" i="7"/>
  <c r="C344" i="7"/>
  <c r="C343" i="7"/>
  <c r="C342" i="7"/>
  <c r="C341" i="7"/>
  <c r="C340" i="7"/>
  <c r="C339" i="7"/>
  <c r="C338" i="7"/>
  <c r="C337" i="7"/>
  <c r="C336" i="7"/>
  <c r="C335" i="7"/>
  <c r="C334" i="7"/>
  <c r="C333" i="7"/>
  <c r="C332" i="7"/>
  <c r="C331" i="7"/>
  <c r="C330" i="7"/>
  <c r="C329" i="7"/>
  <c r="C328" i="7"/>
  <c r="C327" i="7"/>
  <c r="C326" i="7"/>
  <c r="C325" i="7"/>
  <c r="C324" i="7"/>
  <c r="C323" i="7"/>
  <c r="C322" i="7"/>
  <c r="C321" i="7"/>
  <c r="C320" i="7"/>
  <c r="C319" i="7"/>
  <c r="C318" i="7"/>
  <c r="C317" i="7"/>
  <c r="C316" i="7"/>
  <c r="C315" i="7"/>
  <c r="C314" i="7"/>
  <c r="C313" i="7"/>
  <c r="C312" i="7"/>
  <c r="C311" i="7"/>
  <c r="C310" i="7"/>
  <c r="C309" i="7"/>
  <c r="C308" i="7"/>
  <c r="C307" i="7"/>
  <c r="C306" i="7"/>
  <c r="C305" i="7"/>
  <c r="C304" i="7"/>
  <c r="C303" i="7"/>
  <c r="C302" i="7"/>
  <c r="C301" i="7"/>
  <c r="C300" i="7"/>
  <c r="C299" i="7"/>
  <c r="C298" i="7"/>
  <c r="C297" i="7"/>
  <c r="C296" i="7"/>
  <c r="C295" i="7"/>
  <c r="C294" i="7"/>
  <c r="C293" i="7"/>
  <c r="C292" i="7"/>
  <c r="C291" i="7"/>
  <c r="C290" i="7"/>
  <c r="C289" i="7"/>
  <c r="C288" i="7"/>
  <c r="C287" i="7"/>
  <c r="C286" i="7"/>
  <c r="C285" i="7"/>
  <c r="C284" i="7"/>
  <c r="C283" i="7"/>
  <c r="C282" i="7"/>
  <c r="C281" i="7"/>
  <c r="C280"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B249" i="9"/>
  <c r="C242" i="7"/>
  <c r="B248" i="9"/>
  <c r="C241" i="7"/>
  <c r="B247" i="9"/>
  <c r="C240" i="7"/>
  <c r="B246" i="9"/>
  <c r="C239" i="7"/>
  <c r="B245" i="9"/>
  <c r="C238" i="7"/>
  <c r="B244" i="9"/>
  <c r="C237" i="7"/>
  <c r="B243" i="9"/>
  <c r="C236" i="7"/>
  <c r="B242" i="9"/>
  <c r="C235" i="7"/>
  <c r="B241" i="9"/>
  <c r="C234" i="7"/>
  <c r="B240" i="9"/>
  <c r="C233" i="7"/>
  <c r="B239" i="9"/>
  <c r="C232" i="7"/>
  <c r="B238" i="9"/>
  <c r="C231" i="7"/>
  <c r="B237" i="9"/>
  <c r="C230" i="7"/>
  <c r="B236" i="9"/>
  <c r="C229" i="7"/>
  <c r="B235" i="9"/>
  <c r="C228" i="7"/>
  <c r="B234" i="9"/>
  <c r="C227" i="7"/>
  <c r="B233" i="9"/>
  <c r="C226" i="7"/>
  <c r="B232" i="9"/>
  <c r="C225" i="7"/>
  <c r="B231" i="9"/>
  <c r="C224" i="7"/>
  <c r="B230" i="9"/>
  <c r="C223" i="7"/>
  <c r="B229" i="9"/>
  <c r="C222" i="7"/>
  <c r="B228" i="9"/>
  <c r="C221" i="7"/>
  <c r="B227" i="9"/>
  <c r="C220" i="7"/>
  <c r="B226" i="9"/>
  <c r="C219" i="7"/>
  <c r="B225" i="9"/>
  <c r="C218" i="7"/>
  <c r="B224" i="9"/>
  <c r="C217" i="7"/>
  <c r="B223" i="9"/>
  <c r="C216" i="7"/>
  <c r="B222" i="9"/>
  <c r="C215" i="7"/>
  <c r="B221" i="9"/>
  <c r="C214" i="7"/>
  <c r="B220" i="9"/>
  <c r="C213" i="7"/>
  <c r="B219" i="9"/>
  <c r="C212" i="7"/>
  <c r="B218" i="9"/>
  <c r="C211" i="7"/>
  <c r="B217" i="9"/>
  <c r="C210" i="7"/>
  <c r="B216" i="9"/>
  <c r="C209" i="7"/>
  <c r="B215" i="9"/>
  <c r="C208" i="7"/>
  <c r="B214" i="9"/>
  <c r="C207" i="7"/>
  <c r="B213" i="9"/>
  <c r="C206" i="7"/>
  <c r="B212" i="9"/>
  <c r="C205" i="7"/>
  <c r="B211" i="9"/>
  <c r="C204" i="7"/>
  <c r="B210" i="9"/>
  <c r="C203" i="7"/>
  <c r="B209" i="9"/>
  <c r="C202" i="7"/>
  <c r="B208" i="9"/>
  <c r="C201" i="7"/>
  <c r="B207" i="9"/>
  <c r="C200" i="7"/>
  <c r="B206" i="9"/>
  <c r="C199" i="7"/>
  <c r="B205" i="9"/>
  <c r="C198" i="7"/>
  <c r="B204" i="9"/>
  <c r="C197" i="7"/>
  <c r="B203" i="9"/>
  <c r="C196" i="7"/>
  <c r="B202" i="9"/>
  <c r="C195" i="7"/>
  <c r="B201" i="9"/>
  <c r="C194" i="7"/>
  <c r="B200" i="9"/>
  <c r="C193" i="7"/>
  <c r="B199" i="9"/>
  <c r="C192" i="7"/>
  <c r="B198" i="9"/>
  <c r="C198" i="9"/>
  <c r="C191" i="7"/>
  <c r="B197" i="9"/>
  <c r="C197" i="9"/>
  <c r="C190" i="7"/>
  <c r="B196" i="9"/>
  <c r="C189" i="7"/>
  <c r="B195" i="9"/>
  <c r="C188" i="7"/>
  <c r="B194" i="9"/>
  <c r="C194" i="9"/>
  <c r="C187" i="7"/>
  <c r="B193" i="9"/>
  <c r="C193" i="9"/>
  <c r="C186" i="7"/>
  <c r="B192" i="9"/>
  <c r="C185" i="7"/>
  <c r="B191" i="9"/>
  <c r="C184" i="7"/>
  <c r="B190" i="9"/>
  <c r="C190" i="9"/>
  <c r="C183" i="7"/>
  <c r="B189" i="9"/>
  <c r="C189" i="9"/>
  <c r="C182" i="7"/>
  <c r="B188" i="9"/>
  <c r="C181" i="7"/>
  <c r="B187" i="9"/>
  <c r="C180" i="7"/>
  <c r="B186" i="9"/>
  <c r="C186" i="9"/>
  <c r="C179" i="7"/>
  <c r="B185" i="9"/>
  <c r="C185" i="9"/>
  <c r="C178" i="7"/>
  <c r="B184" i="9"/>
  <c r="C177" i="7"/>
  <c r="B183" i="9"/>
  <c r="C176" i="7"/>
  <c r="B182" i="9"/>
  <c r="C182" i="9"/>
  <c r="C175" i="7"/>
  <c r="B181" i="9"/>
  <c r="C181" i="9"/>
  <c r="C174" i="7"/>
  <c r="B180" i="9"/>
  <c r="C173" i="7"/>
  <c r="B179" i="9"/>
  <c r="C172" i="7"/>
  <c r="B178" i="9"/>
  <c r="C178" i="9"/>
  <c r="C171" i="7"/>
  <c r="B177" i="9"/>
  <c r="C177" i="9"/>
  <c r="C170" i="7"/>
  <c r="B176" i="9"/>
  <c r="C169" i="7"/>
  <c r="B175" i="9"/>
  <c r="C168" i="7"/>
  <c r="B174" i="9"/>
  <c r="C174" i="9"/>
  <c r="C167" i="7"/>
  <c r="B173" i="9"/>
  <c r="C173" i="9"/>
  <c r="C166" i="7"/>
  <c r="B172" i="9"/>
  <c r="C165" i="7"/>
  <c r="B171" i="9"/>
  <c r="C164" i="7"/>
  <c r="B170" i="9"/>
  <c r="C170" i="9"/>
  <c r="C163" i="7"/>
  <c r="B169" i="9"/>
  <c r="C169" i="9"/>
  <c r="C162" i="7"/>
  <c r="B168" i="9"/>
  <c r="C161" i="7"/>
  <c r="B167" i="9"/>
  <c r="C160" i="7"/>
  <c r="B166" i="9"/>
  <c r="C159" i="7"/>
  <c r="B165" i="9"/>
  <c r="C158" i="7"/>
  <c r="B164" i="9"/>
  <c r="C157" i="7"/>
  <c r="B163" i="9"/>
  <c r="C156" i="7"/>
  <c r="B162" i="9"/>
  <c r="C155" i="7"/>
  <c r="B161" i="9"/>
  <c r="C154" i="7"/>
  <c r="B160" i="9"/>
  <c r="C153" i="7"/>
  <c r="B159" i="9"/>
  <c r="C152" i="7"/>
  <c r="B158" i="9"/>
  <c r="C151" i="7"/>
  <c r="B157" i="9"/>
  <c r="C150" i="7"/>
  <c r="B156" i="9"/>
  <c r="C149" i="7"/>
  <c r="B155" i="9"/>
  <c r="C148" i="7"/>
  <c r="B154" i="9"/>
  <c r="C147" i="7"/>
  <c r="B153" i="9"/>
  <c r="C153" i="9"/>
  <c r="C146" i="7"/>
  <c r="C145" i="7"/>
  <c r="B151" i="9"/>
  <c r="C144" i="7"/>
  <c r="B150" i="9"/>
  <c r="C143" i="7"/>
  <c r="B149" i="9"/>
  <c r="C142" i="7"/>
  <c r="B148" i="9"/>
  <c r="C141" i="7"/>
  <c r="B147" i="9"/>
  <c r="C140" i="7"/>
  <c r="B146" i="9"/>
  <c r="C139" i="7"/>
  <c r="B145" i="9"/>
  <c r="C145" i="9"/>
  <c r="C138" i="7"/>
  <c r="C137" i="7"/>
  <c r="B143" i="9"/>
  <c r="C136" i="7"/>
  <c r="B142" i="9"/>
  <c r="C135" i="7"/>
  <c r="B141" i="9"/>
  <c r="C134" i="7"/>
  <c r="B140" i="9"/>
  <c r="C133" i="7"/>
  <c r="B139" i="9"/>
  <c r="C132" i="7"/>
  <c r="B138" i="9"/>
  <c r="C131" i="7"/>
  <c r="B137" i="9"/>
  <c r="C137" i="9"/>
  <c r="C130" i="7"/>
  <c r="C129" i="7"/>
  <c r="B135" i="9"/>
  <c r="C128" i="7"/>
  <c r="B134" i="9"/>
  <c r="C127" i="7"/>
  <c r="B133" i="9"/>
  <c r="C126" i="7"/>
  <c r="B132" i="9"/>
  <c r="C125" i="7"/>
  <c r="B131" i="9"/>
  <c r="C124" i="7"/>
  <c r="B130" i="9"/>
  <c r="C123" i="7"/>
  <c r="B129" i="9"/>
  <c r="C129" i="9"/>
  <c r="C122" i="7"/>
  <c r="C121" i="7"/>
  <c r="B127" i="9"/>
  <c r="C120" i="7"/>
  <c r="B126" i="9"/>
  <c r="C119" i="7"/>
  <c r="B125" i="9"/>
  <c r="C118" i="7"/>
  <c r="B124" i="9"/>
  <c r="C117" i="7"/>
  <c r="B123" i="9"/>
  <c r="C116" i="7"/>
  <c r="B122" i="9"/>
  <c r="C115" i="7"/>
  <c r="B121" i="9"/>
  <c r="C121" i="9"/>
  <c r="C114" i="7"/>
  <c r="C113" i="7"/>
  <c r="B119" i="9"/>
  <c r="C112" i="7"/>
  <c r="B118" i="9"/>
  <c r="C111" i="7"/>
  <c r="B117" i="9"/>
  <c r="C110" i="7"/>
  <c r="B116" i="9"/>
  <c r="C109" i="7"/>
  <c r="B115" i="9"/>
  <c r="C108" i="7"/>
  <c r="B114" i="9"/>
  <c r="C107" i="7"/>
  <c r="B113" i="9"/>
  <c r="C113" i="9"/>
  <c r="C106" i="7"/>
  <c r="C105" i="7"/>
  <c r="B111" i="9"/>
  <c r="C104" i="7"/>
  <c r="B110" i="9"/>
  <c r="C103" i="7"/>
  <c r="B109" i="9"/>
  <c r="C102" i="7"/>
  <c r="B108" i="9"/>
  <c r="C101" i="7"/>
  <c r="B107" i="9"/>
  <c r="C100" i="7"/>
  <c r="B106" i="9"/>
  <c r="C99" i="7"/>
  <c r="B105" i="9"/>
  <c r="C105" i="9"/>
  <c r="C98" i="7"/>
  <c r="B103" i="9"/>
  <c r="C97" i="7"/>
  <c r="B102" i="9"/>
  <c r="C96" i="7"/>
  <c r="B101" i="9"/>
  <c r="C95" i="7"/>
  <c r="B100" i="9"/>
  <c r="C94" i="7"/>
  <c r="B99" i="9"/>
  <c r="C93" i="7"/>
  <c r="B98" i="9"/>
  <c r="C98" i="9"/>
  <c r="C92" i="7"/>
  <c r="B97" i="9"/>
  <c r="C91" i="7"/>
  <c r="C90" i="7"/>
  <c r="B96" i="9"/>
  <c r="C89" i="7"/>
  <c r="C88" i="7"/>
  <c r="B94" i="9"/>
  <c r="C87" i="7"/>
  <c r="B93" i="9"/>
  <c r="C86" i="7"/>
  <c r="B92" i="9"/>
  <c r="C85" i="7"/>
  <c r="C84" i="7"/>
  <c r="B90" i="9"/>
  <c r="C83" i="7"/>
  <c r="B89" i="9"/>
  <c r="C82" i="7"/>
  <c r="B88" i="9"/>
  <c r="C81" i="7"/>
  <c r="C80" i="7"/>
  <c r="B86" i="9"/>
  <c r="C79" i="7"/>
  <c r="B85" i="9"/>
  <c r="C78" i="7"/>
  <c r="B84" i="9"/>
  <c r="C77" i="7"/>
  <c r="C76" i="7"/>
  <c r="B82" i="9"/>
  <c r="C75" i="7"/>
  <c r="B81" i="9"/>
  <c r="C81" i="9"/>
  <c r="C74" i="7"/>
  <c r="B80" i="9"/>
  <c r="C73" i="7"/>
  <c r="B79" i="9"/>
  <c r="C72" i="7"/>
  <c r="B78" i="9"/>
  <c r="C71" i="7"/>
  <c r="B77" i="9"/>
  <c r="C77" i="9"/>
  <c r="C70" i="7"/>
  <c r="B76" i="9"/>
  <c r="C69" i="7"/>
  <c r="B75" i="9"/>
  <c r="C68" i="7"/>
  <c r="B74" i="9"/>
  <c r="C67" i="7"/>
  <c r="B73" i="9"/>
  <c r="C73" i="9"/>
  <c r="C66" i="7"/>
  <c r="B72" i="9"/>
  <c r="C65" i="7"/>
  <c r="B71" i="9"/>
  <c r="C64" i="7"/>
  <c r="B70" i="9"/>
  <c r="C63" i="7"/>
  <c r="B69" i="9"/>
  <c r="C69" i="9"/>
  <c r="C62" i="7"/>
  <c r="B68" i="9"/>
  <c r="C61" i="7"/>
  <c r="B67" i="9"/>
  <c r="C60" i="7"/>
  <c r="B66" i="9"/>
  <c r="C59" i="7"/>
  <c r="B65" i="9"/>
  <c r="C65" i="9"/>
  <c r="C58" i="7"/>
  <c r="B64" i="9"/>
  <c r="C57" i="7"/>
  <c r="B63" i="9"/>
  <c r="C56" i="7"/>
  <c r="B62" i="9"/>
  <c r="C55" i="7"/>
  <c r="B61" i="9"/>
  <c r="C61" i="9"/>
  <c r="C54" i="7"/>
  <c r="B60" i="9"/>
  <c r="C53" i="7"/>
  <c r="B59" i="9"/>
  <c r="C52" i="7"/>
  <c r="B58" i="9"/>
  <c r="C51" i="7"/>
  <c r="B57" i="9"/>
  <c r="C57" i="9"/>
  <c r="C50" i="7"/>
  <c r="B56" i="9"/>
  <c r="C49" i="7"/>
  <c r="B55" i="9"/>
  <c r="C48" i="7"/>
  <c r="B54" i="9"/>
  <c r="C47" i="7"/>
  <c r="B53" i="9"/>
  <c r="C53" i="9"/>
  <c r="C46" i="7"/>
  <c r="B52" i="9"/>
  <c r="C45" i="7"/>
  <c r="B51" i="9"/>
  <c r="C44" i="7"/>
  <c r="B50" i="9"/>
  <c r="C43" i="7"/>
  <c r="B49" i="9"/>
  <c r="C49" i="9"/>
  <c r="C42" i="7"/>
  <c r="B48" i="9"/>
  <c r="C41" i="7"/>
  <c r="B47" i="9"/>
  <c r="C40" i="7"/>
  <c r="B46" i="9"/>
  <c r="C39" i="7"/>
  <c r="B45" i="9"/>
  <c r="C45" i="9"/>
  <c r="C38" i="7"/>
  <c r="B44" i="9"/>
  <c r="C37" i="7"/>
  <c r="B43" i="9"/>
  <c r="C36" i="7"/>
  <c r="B42" i="9"/>
  <c r="C35" i="7"/>
  <c r="B41" i="9"/>
  <c r="C41" i="9"/>
  <c r="C34" i="7"/>
  <c r="B40" i="9"/>
  <c r="C33" i="7"/>
  <c r="B39" i="9"/>
  <c r="C32" i="7"/>
  <c r="B38" i="9"/>
  <c r="C31" i="7"/>
  <c r="B37" i="9"/>
  <c r="C37" i="9"/>
  <c r="C30" i="7"/>
  <c r="B36" i="9"/>
  <c r="C29" i="7"/>
  <c r="B35" i="9"/>
  <c r="C28" i="7"/>
  <c r="B34" i="9"/>
  <c r="C27" i="7"/>
  <c r="B33" i="9"/>
  <c r="C33" i="9"/>
  <c r="C26" i="7"/>
  <c r="B32" i="9"/>
  <c r="C25" i="7"/>
  <c r="B31" i="9"/>
  <c r="C24" i="7"/>
  <c r="B30" i="9"/>
  <c r="C23" i="7"/>
  <c r="B29" i="9"/>
  <c r="C29" i="9"/>
  <c r="C22" i="7"/>
  <c r="B28" i="9"/>
  <c r="C21" i="7"/>
  <c r="B27" i="9"/>
  <c r="C20" i="7"/>
  <c r="B26" i="9"/>
  <c r="C19" i="7"/>
  <c r="B25" i="9"/>
  <c r="C18" i="7"/>
  <c r="B24" i="9"/>
  <c r="C17" i="7"/>
  <c r="B23" i="9"/>
  <c r="C16" i="7"/>
  <c r="B22" i="9"/>
  <c r="C15" i="7"/>
  <c r="B21" i="9"/>
  <c r="C14" i="7"/>
  <c r="B20" i="9"/>
  <c r="C13" i="7"/>
  <c r="B19" i="9"/>
  <c r="C12" i="7"/>
  <c r="B18" i="9"/>
  <c r="C11" i="7"/>
  <c r="B17" i="9"/>
  <c r="C10" i="7"/>
  <c r="B16" i="9"/>
  <c r="C9" i="7"/>
  <c r="B15" i="9"/>
  <c r="C8" i="7"/>
  <c r="B14" i="9"/>
  <c r="C7" i="7"/>
  <c r="B13" i="9"/>
  <c r="C6" i="7"/>
  <c r="B12" i="9"/>
  <c r="C5" i="7"/>
  <c r="B11" i="9"/>
  <c r="C4" i="7"/>
  <c r="B10" i="9"/>
  <c r="C236" i="9"/>
  <c r="C244" i="9"/>
  <c r="C229" i="9"/>
  <c r="C233" i="9"/>
  <c r="C237" i="9"/>
  <c r="C241" i="9"/>
  <c r="C245" i="9"/>
  <c r="C249" i="9"/>
  <c r="C232" i="9"/>
  <c r="C248" i="9"/>
  <c r="C226" i="9"/>
  <c r="C230" i="9"/>
  <c r="C234" i="9"/>
  <c r="C238" i="9"/>
  <c r="C242" i="9"/>
  <c r="C246" i="9"/>
  <c r="C228" i="9"/>
  <c r="C240" i="9"/>
  <c r="C227" i="9"/>
  <c r="C231" i="9"/>
  <c r="C235" i="9"/>
  <c r="C239" i="9"/>
  <c r="C243" i="9"/>
  <c r="C247" i="9"/>
  <c r="C154" i="9"/>
  <c r="C162" i="9"/>
  <c r="C158" i="9"/>
  <c r="C166" i="9"/>
  <c r="C159" i="9"/>
  <c r="C167" i="9"/>
  <c r="C156" i="9"/>
  <c r="C160" i="9"/>
  <c r="C164" i="9"/>
  <c r="C168" i="9"/>
  <c r="C172" i="9"/>
  <c r="C176" i="9"/>
  <c r="C180" i="9"/>
  <c r="C184" i="9"/>
  <c r="C188" i="9"/>
  <c r="C192" i="9"/>
  <c r="C196" i="9"/>
  <c r="C200" i="9"/>
  <c r="C204" i="9"/>
  <c r="C208" i="9"/>
  <c r="C212" i="9"/>
  <c r="C216" i="9"/>
  <c r="C220" i="9"/>
  <c r="C224" i="9"/>
  <c r="C157" i="9"/>
  <c r="C161" i="9"/>
  <c r="C165" i="9"/>
  <c r="D169" i="9"/>
  <c r="G169" i="9"/>
  <c r="D173" i="9"/>
  <c r="H173" i="9"/>
  <c r="D177" i="9"/>
  <c r="I177" i="9"/>
  <c r="D181" i="9"/>
  <c r="H181" i="9"/>
  <c r="D185" i="9"/>
  <c r="G185" i="9"/>
  <c r="D189" i="9"/>
  <c r="H189" i="9"/>
  <c r="D193" i="9"/>
  <c r="I193" i="9"/>
  <c r="D197" i="9"/>
  <c r="H197" i="9"/>
  <c r="C201" i="9"/>
  <c r="C205" i="9"/>
  <c r="C209" i="9"/>
  <c r="C213" i="9"/>
  <c r="C217" i="9"/>
  <c r="C221" i="9"/>
  <c r="C225" i="9"/>
  <c r="C155" i="9"/>
  <c r="C163" i="9"/>
  <c r="D170" i="9"/>
  <c r="H170" i="9"/>
  <c r="D174" i="9"/>
  <c r="G174" i="9"/>
  <c r="D178" i="9"/>
  <c r="H178" i="9"/>
  <c r="D182" i="9"/>
  <c r="I182" i="9"/>
  <c r="D186" i="9"/>
  <c r="H186" i="9"/>
  <c r="D190" i="9"/>
  <c r="G190" i="9"/>
  <c r="D194" i="9"/>
  <c r="H194" i="9"/>
  <c r="D198" i="9"/>
  <c r="I198" i="9"/>
  <c r="C202" i="9"/>
  <c r="C206" i="9"/>
  <c r="C210" i="9"/>
  <c r="C214" i="9"/>
  <c r="C218" i="9"/>
  <c r="C222" i="9"/>
  <c r="C171" i="9"/>
  <c r="C175" i="9"/>
  <c r="C179" i="9"/>
  <c r="C183" i="9"/>
  <c r="C187" i="9"/>
  <c r="C191" i="9"/>
  <c r="C195" i="9"/>
  <c r="C199" i="9"/>
  <c r="C203" i="9"/>
  <c r="C207" i="9"/>
  <c r="C211" i="9"/>
  <c r="C215" i="9"/>
  <c r="C219" i="9"/>
  <c r="C223" i="9"/>
  <c r="C92" i="9"/>
  <c r="C108" i="9"/>
  <c r="C124" i="9"/>
  <c r="C148" i="9"/>
  <c r="C93" i="9"/>
  <c r="D105" i="9"/>
  <c r="I105" i="9"/>
  <c r="D113" i="9"/>
  <c r="I113" i="9"/>
  <c r="D129" i="9"/>
  <c r="I129" i="9"/>
  <c r="D137" i="9"/>
  <c r="I137" i="9"/>
  <c r="D145" i="9"/>
  <c r="I145" i="9"/>
  <c r="D153" i="9"/>
  <c r="I153" i="9"/>
  <c r="C88" i="9"/>
  <c r="C96" i="9"/>
  <c r="C132" i="9"/>
  <c r="C140" i="9"/>
  <c r="C85" i="9"/>
  <c r="C89" i="9"/>
  <c r="C100" i="9"/>
  <c r="D121" i="9"/>
  <c r="I121" i="9"/>
  <c r="C82" i="9"/>
  <c r="C86" i="9"/>
  <c r="C90" i="9"/>
  <c r="C94" i="9"/>
  <c r="C97" i="9"/>
  <c r="C84" i="9"/>
  <c r="C116" i="9"/>
  <c r="D98" i="9"/>
  <c r="H98" i="9"/>
  <c r="C110" i="9"/>
  <c r="C122" i="9"/>
  <c r="C138" i="9"/>
  <c r="C150" i="9"/>
  <c r="C128" i="9"/>
  <c r="C136" i="9"/>
  <c r="C144" i="9"/>
  <c r="C102" i="9"/>
  <c r="C107" i="9"/>
  <c r="C111" i="9"/>
  <c r="C115" i="9"/>
  <c r="C119" i="9"/>
  <c r="C123" i="9"/>
  <c r="C127" i="9"/>
  <c r="C131" i="9"/>
  <c r="C135" i="9"/>
  <c r="C139" i="9"/>
  <c r="C143" i="9"/>
  <c r="C147" i="9"/>
  <c r="C151" i="9"/>
  <c r="C83" i="9"/>
  <c r="C87" i="9"/>
  <c r="C91" i="9"/>
  <c r="C95" i="9"/>
  <c r="C101" i="9"/>
  <c r="C109" i="9"/>
  <c r="C117" i="9"/>
  <c r="C125" i="9"/>
  <c r="C133" i="9"/>
  <c r="C141" i="9"/>
  <c r="C149" i="9"/>
  <c r="C106" i="9"/>
  <c r="C118" i="9"/>
  <c r="C126" i="9"/>
  <c r="C134" i="9"/>
  <c r="C142" i="9"/>
  <c r="C104" i="9"/>
  <c r="C112" i="9"/>
  <c r="C120" i="9"/>
  <c r="C152" i="9"/>
  <c r="C99" i="9"/>
  <c r="C103" i="9"/>
  <c r="C114" i="9"/>
  <c r="C130" i="9"/>
  <c r="C146" i="9"/>
  <c r="C17" i="9"/>
  <c r="D29" i="9"/>
  <c r="I29" i="9"/>
  <c r="D45" i="9"/>
  <c r="I45" i="9"/>
  <c r="D57" i="9"/>
  <c r="I57" i="9"/>
  <c r="D65" i="9"/>
  <c r="I65" i="9"/>
  <c r="D73" i="9"/>
  <c r="I73" i="9"/>
  <c r="C10" i="9"/>
  <c r="C14" i="9"/>
  <c r="C18" i="9"/>
  <c r="C22" i="9"/>
  <c r="C13" i="9"/>
  <c r="C25" i="9"/>
  <c r="D37" i="9"/>
  <c r="I37" i="9"/>
  <c r="D49" i="9"/>
  <c r="I49" i="9"/>
  <c r="D61" i="9"/>
  <c r="I61" i="9"/>
  <c r="D81" i="9"/>
  <c r="I81" i="9"/>
  <c r="C11" i="9"/>
  <c r="C15" i="9"/>
  <c r="C19" i="9"/>
  <c r="C23" i="9"/>
  <c r="C27" i="9"/>
  <c r="C31" i="9"/>
  <c r="C35" i="9"/>
  <c r="C39" i="9"/>
  <c r="C43" i="9"/>
  <c r="C47" i="9"/>
  <c r="C51" i="9"/>
  <c r="C55" i="9"/>
  <c r="C59" i="9"/>
  <c r="C63" i="9"/>
  <c r="C67" i="9"/>
  <c r="C71" i="9"/>
  <c r="C75" i="9"/>
  <c r="C79" i="9"/>
  <c r="C21" i="9"/>
  <c r="D33" i="9"/>
  <c r="I33" i="9"/>
  <c r="D41" i="9"/>
  <c r="I41" i="9"/>
  <c r="D53" i="9"/>
  <c r="I53" i="9"/>
  <c r="D69" i="9"/>
  <c r="I69" i="9"/>
  <c r="D77" i="9"/>
  <c r="I77" i="9"/>
  <c r="C12" i="9"/>
  <c r="C16" i="9"/>
  <c r="C20" i="9"/>
  <c r="C24" i="9"/>
  <c r="C28" i="9"/>
  <c r="C32" i="9"/>
  <c r="C36" i="9"/>
  <c r="C40" i="9"/>
  <c r="C44" i="9"/>
  <c r="C48" i="9"/>
  <c r="C52" i="9"/>
  <c r="C56" i="9"/>
  <c r="C60" i="9"/>
  <c r="C64" i="9"/>
  <c r="C68" i="9"/>
  <c r="C72" i="9"/>
  <c r="C76" i="9"/>
  <c r="C80" i="9"/>
  <c r="C30" i="9"/>
  <c r="C46" i="9"/>
  <c r="C50" i="9"/>
  <c r="C62" i="9"/>
  <c r="C74" i="9"/>
  <c r="C26" i="9"/>
  <c r="C38" i="9"/>
  <c r="C58" i="9"/>
  <c r="C70" i="9"/>
  <c r="C34" i="9"/>
  <c r="C42" i="9"/>
  <c r="C54" i="9"/>
  <c r="C66" i="9"/>
  <c r="C78" i="9"/>
  <c r="H57" i="9"/>
  <c r="H49" i="9"/>
  <c r="G77" i="9"/>
  <c r="H77" i="9"/>
  <c r="I189" i="9"/>
  <c r="I173" i="9"/>
  <c r="G105" i="9"/>
  <c r="G194" i="9"/>
  <c r="H174" i="9"/>
  <c r="G61" i="9"/>
  <c r="H121" i="9"/>
  <c r="G129" i="9"/>
  <c r="G121" i="9"/>
  <c r="I194" i="9"/>
  <c r="G186" i="9"/>
  <c r="I186" i="9"/>
  <c r="H190" i="9"/>
  <c r="H69" i="9"/>
  <c r="G33" i="9"/>
  <c r="H61" i="9"/>
  <c r="G65" i="9"/>
  <c r="I170" i="9"/>
  <c r="G178" i="9"/>
  <c r="G170" i="9"/>
  <c r="G197" i="9"/>
  <c r="G189" i="9"/>
  <c r="G181" i="9"/>
  <c r="G173" i="9"/>
  <c r="H33" i="9"/>
  <c r="H65" i="9"/>
  <c r="I197" i="9"/>
  <c r="I181" i="9"/>
  <c r="I190" i="9"/>
  <c r="I178" i="9"/>
  <c r="I174" i="9"/>
  <c r="D231" i="9"/>
  <c r="I231" i="9"/>
  <c r="D246" i="9"/>
  <c r="I246" i="9"/>
  <c r="D248" i="9"/>
  <c r="I248" i="9"/>
  <c r="D241" i="9"/>
  <c r="I241" i="9"/>
  <c r="D244" i="9"/>
  <c r="I244" i="9"/>
  <c r="D233" i="9"/>
  <c r="I233" i="9"/>
  <c r="D247" i="9"/>
  <c r="I247" i="9"/>
  <c r="D240" i="9"/>
  <c r="I240" i="9"/>
  <c r="D238" i="9"/>
  <c r="I238" i="9"/>
  <c r="D230" i="9"/>
  <c r="I230" i="9"/>
  <c r="D249" i="9"/>
  <c r="I249" i="9"/>
  <c r="D243" i="9"/>
  <c r="I243" i="9"/>
  <c r="D235" i="9"/>
  <c r="I235" i="9"/>
  <c r="D227" i="9"/>
  <c r="I227" i="9"/>
  <c r="D228" i="9"/>
  <c r="I228" i="9"/>
  <c r="D242" i="9"/>
  <c r="I242" i="9"/>
  <c r="D234" i="9"/>
  <c r="I234" i="9"/>
  <c r="D226" i="9"/>
  <c r="I226" i="9"/>
  <c r="D232" i="9"/>
  <c r="I232" i="9"/>
  <c r="D237" i="9"/>
  <c r="I237" i="9"/>
  <c r="D229" i="9"/>
  <c r="I229" i="9"/>
  <c r="D236" i="9"/>
  <c r="I236" i="9"/>
  <c r="D239" i="9"/>
  <c r="I239" i="9"/>
  <c r="D245" i="9"/>
  <c r="I245" i="9"/>
  <c r="D215" i="9"/>
  <c r="I215" i="9"/>
  <c r="D183" i="9"/>
  <c r="I183" i="9"/>
  <c r="D163" i="9"/>
  <c r="I163" i="9"/>
  <c r="D213" i="9"/>
  <c r="I213" i="9"/>
  <c r="D157" i="9"/>
  <c r="I157" i="9"/>
  <c r="D220" i="9"/>
  <c r="I220" i="9"/>
  <c r="D212" i="9"/>
  <c r="I212" i="9"/>
  <c r="D204" i="9"/>
  <c r="I204" i="9"/>
  <c r="D188" i="9"/>
  <c r="I188" i="9"/>
  <c r="D180" i="9"/>
  <c r="I180" i="9"/>
  <c r="D172" i="9"/>
  <c r="I172" i="9"/>
  <c r="D164" i="9"/>
  <c r="I164" i="9"/>
  <c r="D156" i="9"/>
  <c r="I156" i="9"/>
  <c r="D166" i="9"/>
  <c r="I166" i="9"/>
  <c r="D162" i="9"/>
  <c r="I162" i="9"/>
  <c r="D222" i="9"/>
  <c r="I222" i="9"/>
  <c r="D214" i="9"/>
  <c r="I214" i="9"/>
  <c r="D206" i="9"/>
  <c r="I206" i="9"/>
  <c r="G198" i="9"/>
  <c r="G182" i="9"/>
  <c r="D155" i="9"/>
  <c r="I155" i="9"/>
  <c r="G193" i="9"/>
  <c r="H185" i="9"/>
  <c r="G177" i="9"/>
  <c r="H169" i="9"/>
  <c r="I185" i="9"/>
  <c r="I169" i="9"/>
  <c r="D223" i="9"/>
  <c r="I223" i="9"/>
  <c r="D199" i="9"/>
  <c r="I199" i="9"/>
  <c r="D165" i="9"/>
  <c r="I165" i="9"/>
  <c r="D219" i="9"/>
  <c r="I219" i="9"/>
  <c r="D195" i="9"/>
  <c r="I195" i="9"/>
  <c r="D179" i="9"/>
  <c r="I179" i="9"/>
  <c r="D171" i="9"/>
  <c r="I171" i="9"/>
  <c r="D218" i="9"/>
  <c r="I218" i="9"/>
  <c r="D202" i="9"/>
  <c r="I202" i="9"/>
  <c r="H198" i="9"/>
  <c r="H182" i="9"/>
  <c r="D161" i="9"/>
  <c r="I161" i="9"/>
  <c r="D224" i="9"/>
  <c r="I224" i="9"/>
  <c r="D216" i="9"/>
  <c r="I216" i="9"/>
  <c r="D208" i="9"/>
  <c r="I208" i="9"/>
  <c r="D200" i="9"/>
  <c r="I200" i="9"/>
  <c r="D192" i="9"/>
  <c r="I192" i="9"/>
  <c r="D184" i="9"/>
  <c r="I184" i="9"/>
  <c r="D176" i="9"/>
  <c r="I176" i="9"/>
  <c r="D168" i="9"/>
  <c r="I168" i="9"/>
  <c r="D160" i="9"/>
  <c r="I160" i="9"/>
  <c r="D167" i="9"/>
  <c r="I167" i="9"/>
  <c r="D158" i="9"/>
  <c r="I158" i="9"/>
  <c r="D154" i="9"/>
  <c r="I154" i="9"/>
  <c r="D207" i="9"/>
  <c r="I207" i="9"/>
  <c r="D191" i="9"/>
  <c r="I191" i="9"/>
  <c r="D175" i="9"/>
  <c r="I175" i="9"/>
  <c r="D221" i="9"/>
  <c r="I221" i="9"/>
  <c r="D205" i="9"/>
  <c r="I205" i="9"/>
  <c r="D196" i="9"/>
  <c r="I196" i="9"/>
  <c r="D211" i="9"/>
  <c r="I211" i="9"/>
  <c r="D203" i="9"/>
  <c r="I203" i="9"/>
  <c r="D187" i="9"/>
  <c r="I187" i="9"/>
  <c r="D210" i="9"/>
  <c r="I210" i="9"/>
  <c r="D225" i="9"/>
  <c r="I225" i="9"/>
  <c r="D217" i="9"/>
  <c r="I217" i="9"/>
  <c r="D209" i="9"/>
  <c r="I209" i="9"/>
  <c r="D201" i="9"/>
  <c r="I201" i="9"/>
  <c r="H193" i="9"/>
  <c r="H177" i="9"/>
  <c r="D159" i="9"/>
  <c r="I159" i="9"/>
  <c r="D141" i="9"/>
  <c r="I141" i="9"/>
  <c r="D91" i="9"/>
  <c r="I91" i="9"/>
  <c r="D116" i="9"/>
  <c r="I116" i="9"/>
  <c r="D94" i="9"/>
  <c r="I94" i="9"/>
  <c r="D148" i="9"/>
  <c r="I148" i="9"/>
  <c r="D130" i="9"/>
  <c r="I130" i="9"/>
  <c r="D103" i="9"/>
  <c r="I103" i="9"/>
  <c r="D152" i="9"/>
  <c r="I152" i="9"/>
  <c r="D112" i="9"/>
  <c r="I112" i="9"/>
  <c r="D142" i="9"/>
  <c r="I142" i="9"/>
  <c r="D126" i="9"/>
  <c r="I126" i="9"/>
  <c r="D106" i="9"/>
  <c r="I106" i="9"/>
  <c r="D133" i="9"/>
  <c r="I133" i="9"/>
  <c r="D101" i="9"/>
  <c r="I101" i="9"/>
  <c r="D87" i="9"/>
  <c r="I87" i="9"/>
  <c r="D147" i="9"/>
  <c r="I147" i="9"/>
  <c r="D139" i="9"/>
  <c r="I139" i="9"/>
  <c r="D131" i="9"/>
  <c r="I131" i="9"/>
  <c r="D123" i="9"/>
  <c r="I123" i="9"/>
  <c r="D115" i="9"/>
  <c r="I115" i="9"/>
  <c r="D107" i="9"/>
  <c r="I107" i="9"/>
  <c r="D144" i="9"/>
  <c r="I144" i="9"/>
  <c r="D128" i="9"/>
  <c r="I128" i="9"/>
  <c r="D138" i="9"/>
  <c r="I138" i="9"/>
  <c r="D110" i="9"/>
  <c r="I110" i="9"/>
  <c r="G98" i="9"/>
  <c r="D100" i="9"/>
  <c r="I100" i="9"/>
  <c r="D85" i="9"/>
  <c r="I85" i="9"/>
  <c r="D132" i="9"/>
  <c r="I132" i="9"/>
  <c r="G153" i="9"/>
  <c r="G145" i="9"/>
  <c r="G137" i="9"/>
  <c r="H129" i="9"/>
  <c r="G113" i="9"/>
  <c r="H105" i="9"/>
  <c r="D109" i="9"/>
  <c r="I109" i="9"/>
  <c r="D86" i="9"/>
  <c r="I86" i="9"/>
  <c r="D108" i="9"/>
  <c r="I108" i="9"/>
  <c r="D125" i="9"/>
  <c r="I125" i="9"/>
  <c r="I98" i="9"/>
  <c r="D83" i="9"/>
  <c r="I83" i="9"/>
  <c r="D90" i="9"/>
  <c r="I90" i="9"/>
  <c r="D82" i="9"/>
  <c r="I82" i="9"/>
  <c r="D88" i="9"/>
  <c r="I88" i="9"/>
  <c r="H153" i="9"/>
  <c r="H145" i="9"/>
  <c r="H137" i="9"/>
  <c r="H113" i="9"/>
  <c r="D93" i="9"/>
  <c r="I93" i="9"/>
  <c r="D124" i="9"/>
  <c r="I124" i="9"/>
  <c r="D92" i="9"/>
  <c r="I92" i="9"/>
  <c r="D146" i="9"/>
  <c r="I146" i="9"/>
  <c r="D114" i="9"/>
  <c r="I114" i="9"/>
  <c r="D99" i="9"/>
  <c r="I99" i="9"/>
  <c r="D120" i="9"/>
  <c r="I120" i="9"/>
  <c r="D104" i="9"/>
  <c r="I104" i="9"/>
  <c r="D134" i="9"/>
  <c r="I134" i="9"/>
  <c r="D118" i="9"/>
  <c r="I118" i="9"/>
  <c r="D149" i="9"/>
  <c r="I149" i="9"/>
  <c r="D117" i="9"/>
  <c r="I117" i="9"/>
  <c r="D95" i="9"/>
  <c r="I95" i="9"/>
  <c r="D151" i="9"/>
  <c r="I151" i="9"/>
  <c r="D143" i="9"/>
  <c r="I143" i="9"/>
  <c r="D135" i="9"/>
  <c r="I135" i="9"/>
  <c r="D127" i="9"/>
  <c r="I127" i="9"/>
  <c r="D119" i="9"/>
  <c r="I119" i="9"/>
  <c r="D111" i="9"/>
  <c r="I111" i="9"/>
  <c r="D102" i="9"/>
  <c r="I102" i="9"/>
  <c r="D136" i="9"/>
  <c r="I136" i="9"/>
  <c r="D150" i="9"/>
  <c r="I150" i="9"/>
  <c r="D122" i="9"/>
  <c r="I122" i="9"/>
  <c r="D84" i="9"/>
  <c r="I84" i="9"/>
  <c r="D97" i="9"/>
  <c r="I97" i="9"/>
  <c r="D89" i="9"/>
  <c r="I89" i="9"/>
  <c r="D140" i="9"/>
  <c r="I140" i="9"/>
  <c r="D96" i="9"/>
  <c r="I96" i="9"/>
  <c r="D80" i="9"/>
  <c r="I80" i="9"/>
  <c r="D71" i="9"/>
  <c r="I71" i="9"/>
  <c r="D55" i="9"/>
  <c r="I55" i="9"/>
  <c r="D31" i="9"/>
  <c r="I31" i="9"/>
  <c r="D14" i="9"/>
  <c r="I14" i="9"/>
  <c r="D66" i="9"/>
  <c r="I66" i="9"/>
  <c r="D70" i="9"/>
  <c r="I70" i="9"/>
  <c r="D50" i="9"/>
  <c r="I50" i="9"/>
  <c r="D60" i="9"/>
  <c r="I60" i="9"/>
  <c r="D36" i="9"/>
  <c r="I36" i="9"/>
  <c r="D20" i="9"/>
  <c r="I20" i="9"/>
  <c r="D12" i="9"/>
  <c r="I12" i="9"/>
  <c r="G41" i="9"/>
  <c r="G73" i="9"/>
  <c r="D76" i="9"/>
  <c r="I76" i="9"/>
  <c r="D68" i="9"/>
  <c r="I68" i="9"/>
  <c r="D52" i="9"/>
  <c r="I52" i="9"/>
  <c r="G53" i="9"/>
  <c r="H41" i="9"/>
  <c r="D21" i="9"/>
  <c r="I21" i="9"/>
  <c r="D75" i="9"/>
  <c r="I75" i="9"/>
  <c r="D67" i="9"/>
  <c r="I67" i="9"/>
  <c r="D59" i="9"/>
  <c r="I59" i="9"/>
  <c r="D51" i="9"/>
  <c r="I51" i="9"/>
  <c r="D43" i="9"/>
  <c r="I43" i="9"/>
  <c r="D35" i="9"/>
  <c r="I35" i="9"/>
  <c r="D27" i="9"/>
  <c r="I27" i="9"/>
  <c r="D19" i="9"/>
  <c r="I19" i="9"/>
  <c r="D11" i="9"/>
  <c r="I11" i="9"/>
  <c r="H81" i="9"/>
  <c r="G37" i="9"/>
  <c r="D13" i="9"/>
  <c r="I13" i="9"/>
  <c r="D18" i="9"/>
  <c r="I18" i="9"/>
  <c r="D10" i="9"/>
  <c r="G10" i="9"/>
  <c r="H73" i="9"/>
  <c r="G45" i="9"/>
  <c r="H29" i="9"/>
  <c r="D72" i="9"/>
  <c r="I72" i="9"/>
  <c r="D56" i="9"/>
  <c r="I56" i="9"/>
  <c r="D79" i="9"/>
  <c r="I79" i="9"/>
  <c r="D63" i="9"/>
  <c r="I63" i="9"/>
  <c r="D47" i="9"/>
  <c r="I47" i="9"/>
  <c r="D39" i="9"/>
  <c r="I39" i="9"/>
  <c r="D23" i="9"/>
  <c r="I23" i="9"/>
  <c r="D15" i="9"/>
  <c r="I15" i="9"/>
  <c r="D22" i="9"/>
  <c r="I22" i="9"/>
  <c r="D42" i="9"/>
  <c r="I42" i="9"/>
  <c r="D38" i="9"/>
  <c r="I38" i="9"/>
  <c r="D74" i="9"/>
  <c r="I74" i="9"/>
  <c r="D30" i="9"/>
  <c r="I30" i="9"/>
  <c r="D44" i="9"/>
  <c r="I44" i="9"/>
  <c r="D28" i="9"/>
  <c r="I28" i="9"/>
  <c r="G81" i="9"/>
  <c r="D25" i="9"/>
  <c r="I25" i="9"/>
  <c r="G29" i="9"/>
  <c r="D78" i="9"/>
  <c r="I78" i="9"/>
  <c r="D54" i="9"/>
  <c r="I54" i="9"/>
  <c r="D34" i="9"/>
  <c r="I34" i="9"/>
  <c r="D58" i="9"/>
  <c r="I58" i="9"/>
  <c r="D26" i="9"/>
  <c r="I26" i="9"/>
  <c r="D62" i="9"/>
  <c r="I62" i="9"/>
  <c r="D46" i="9"/>
  <c r="I46" i="9"/>
  <c r="D64" i="9"/>
  <c r="I64" i="9"/>
  <c r="D48" i="9"/>
  <c r="I48" i="9"/>
  <c r="D40" i="9"/>
  <c r="I40" i="9"/>
  <c r="D32" i="9"/>
  <c r="I32" i="9"/>
  <c r="D24" i="9"/>
  <c r="I24" i="9"/>
  <c r="D16" i="9"/>
  <c r="I16" i="9"/>
  <c r="G69" i="9"/>
  <c r="H53" i="9"/>
  <c r="G49" i="9"/>
  <c r="H37" i="9"/>
  <c r="G57" i="9"/>
  <c r="H45" i="9"/>
  <c r="D17" i="9"/>
  <c r="I17" i="9"/>
  <c r="G249" i="9"/>
  <c r="H38" i="9"/>
  <c r="G15" i="9"/>
  <c r="G62" i="9"/>
  <c r="H62" i="9"/>
  <c r="H25" i="9"/>
  <c r="G225" i="9"/>
  <c r="G203" i="9"/>
  <c r="G215" i="9"/>
  <c r="H20" i="9"/>
  <c r="G104" i="9"/>
  <c r="H219" i="9"/>
  <c r="G209" i="9"/>
  <c r="H130" i="9"/>
  <c r="H184" i="9"/>
  <c r="H161" i="9"/>
  <c r="H36" i="9"/>
  <c r="G216" i="9"/>
  <c r="H89" i="9"/>
  <c r="G122" i="9"/>
  <c r="H99" i="9"/>
  <c r="G152" i="9"/>
  <c r="H211" i="9"/>
  <c r="G47" i="9"/>
  <c r="H13" i="9"/>
  <c r="G20" i="9"/>
  <c r="G36" i="9"/>
  <c r="G70" i="9"/>
  <c r="H55" i="9"/>
  <c r="G149" i="9"/>
  <c r="G141" i="9"/>
  <c r="G196" i="9"/>
  <c r="H218" i="9"/>
  <c r="G156" i="9"/>
  <c r="H246" i="9"/>
  <c r="H47" i="9"/>
  <c r="G13" i="9"/>
  <c r="G147" i="9"/>
  <c r="H196" i="9"/>
  <c r="H213" i="9"/>
  <c r="H247" i="9"/>
  <c r="H23" i="9"/>
  <c r="H118" i="9"/>
  <c r="G93" i="9"/>
  <c r="G125" i="9"/>
  <c r="H101" i="9"/>
  <c r="H17" i="9"/>
  <c r="H48" i="9"/>
  <c r="H26" i="9"/>
  <c r="G54" i="9"/>
  <c r="G28" i="9"/>
  <c r="G39" i="9"/>
  <c r="G51" i="9"/>
  <c r="H66" i="9"/>
  <c r="H150" i="9"/>
  <c r="H108" i="9"/>
  <c r="H85" i="9"/>
  <c r="G110" i="9"/>
  <c r="G144" i="9"/>
  <c r="H142" i="9"/>
  <c r="H103" i="9"/>
  <c r="H175" i="9"/>
  <c r="H158" i="9"/>
  <c r="G184" i="9"/>
  <c r="H200" i="9"/>
  <c r="H216" i="9"/>
  <c r="G179" i="9"/>
  <c r="H242" i="9"/>
  <c r="H243" i="9"/>
  <c r="G247" i="9"/>
  <c r="G233" i="9"/>
  <c r="H54" i="9"/>
  <c r="H51" i="9"/>
  <c r="G82" i="9"/>
  <c r="H225" i="9"/>
  <c r="H233" i="9"/>
  <c r="H68" i="9"/>
  <c r="H60" i="9"/>
  <c r="G135" i="9"/>
  <c r="G115" i="9"/>
  <c r="G158" i="9"/>
  <c r="G168" i="9"/>
  <c r="G155" i="9"/>
  <c r="H206" i="9"/>
  <c r="H166" i="9"/>
  <c r="G204" i="9"/>
  <c r="G163" i="9"/>
  <c r="G229" i="9"/>
  <c r="G238" i="9"/>
  <c r="G246" i="9"/>
  <c r="G17" i="9"/>
  <c r="H32" i="9"/>
  <c r="H78" i="9"/>
  <c r="H44" i="9"/>
  <c r="G74" i="9"/>
  <c r="H15" i="9"/>
  <c r="H39" i="9"/>
  <c r="H56" i="9"/>
  <c r="G43" i="9"/>
  <c r="H21" i="9"/>
  <c r="H70" i="9"/>
  <c r="G31" i="9"/>
  <c r="H122" i="9"/>
  <c r="G127" i="9"/>
  <c r="H149" i="9"/>
  <c r="G134" i="9"/>
  <c r="G92" i="9"/>
  <c r="G124" i="9"/>
  <c r="G107" i="9"/>
  <c r="G139" i="9"/>
  <c r="G126" i="9"/>
  <c r="H209" i="9"/>
  <c r="G210" i="9"/>
  <c r="H203" i="9"/>
  <c r="G205" i="9"/>
  <c r="G167" i="9"/>
  <c r="H168" i="9"/>
  <c r="H171" i="9"/>
  <c r="G214" i="9"/>
  <c r="G188" i="9"/>
  <c r="G157" i="9"/>
  <c r="H229" i="9"/>
  <c r="G230" i="9"/>
  <c r="H238" i="9"/>
  <c r="H16" i="9"/>
  <c r="G48" i="9"/>
  <c r="H28" i="9"/>
  <c r="H74" i="9"/>
  <c r="H63" i="9"/>
  <c r="H27" i="9"/>
  <c r="H43" i="9"/>
  <c r="G75" i="9"/>
  <c r="G21" i="9"/>
  <c r="H52" i="9"/>
  <c r="H31" i="9"/>
  <c r="H111" i="9"/>
  <c r="H127" i="9"/>
  <c r="H143" i="9"/>
  <c r="H104" i="9"/>
  <c r="G99" i="9"/>
  <c r="G114" i="9"/>
  <c r="H92" i="9"/>
  <c r="G108" i="9"/>
  <c r="H109" i="9"/>
  <c r="H144" i="9"/>
  <c r="H107" i="9"/>
  <c r="H123" i="9"/>
  <c r="H139" i="9"/>
  <c r="G133" i="9"/>
  <c r="H126" i="9"/>
  <c r="H152" i="9"/>
  <c r="H94" i="9"/>
  <c r="G91" i="9"/>
  <c r="G191" i="9"/>
  <c r="G192" i="9"/>
  <c r="G224" i="9"/>
  <c r="G218" i="9"/>
  <c r="G219" i="9"/>
  <c r="G199" i="9"/>
  <c r="G166" i="9"/>
  <c r="H172" i="9"/>
  <c r="H188" i="9"/>
  <c r="H212" i="9"/>
  <c r="H157" i="9"/>
  <c r="G213" i="9"/>
  <c r="H183" i="9"/>
  <c r="H239" i="9"/>
  <c r="G236" i="9"/>
  <c r="G242" i="9"/>
  <c r="H230" i="9"/>
  <c r="G244" i="9"/>
  <c r="G24" i="9"/>
  <c r="H64" i="9"/>
  <c r="H72" i="9"/>
  <c r="H59" i="9"/>
  <c r="H75" i="9"/>
  <c r="H80" i="9"/>
  <c r="H124" i="9"/>
  <c r="G86" i="9"/>
  <c r="H205" i="9"/>
  <c r="G239" i="9"/>
  <c r="G245" i="9"/>
  <c r="G237" i="9"/>
  <c r="G232" i="9"/>
  <c r="G234" i="9"/>
  <c r="G228" i="9"/>
  <c r="H235" i="9"/>
  <c r="G243" i="9"/>
  <c r="H249" i="9"/>
  <c r="H240" i="9"/>
  <c r="H244" i="9"/>
  <c r="G241" i="9"/>
  <c r="G248" i="9"/>
  <c r="H231" i="9"/>
  <c r="H245" i="9"/>
  <c r="H236" i="9"/>
  <c r="H237" i="9"/>
  <c r="G226" i="9"/>
  <c r="H234" i="9"/>
  <c r="H227" i="9"/>
  <c r="G235" i="9"/>
  <c r="G240" i="9"/>
  <c r="H241" i="9"/>
  <c r="G231" i="9"/>
  <c r="H232" i="9"/>
  <c r="H226" i="9"/>
  <c r="H228" i="9"/>
  <c r="G227" i="9"/>
  <c r="H248" i="9"/>
  <c r="G159" i="9"/>
  <c r="H201" i="9"/>
  <c r="G217" i="9"/>
  <c r="G187" i="9"/>
  <c r="G221" i="9"/>
  <c r="G207" i="9"/>
  <c r="G154" i="9"/>
  <c r="G160" i="9"/>
  <c r="H192" i="9"/>
  <c r="H224" i="9"/>
  <c r="G202" i="9"/>
  <c r="G195" i="9"/>
  <c r="G223" i="9"/>
  <c r="G222" i="9"/>
  <c r="G162" i="9"/>
  <c r="G164" i="9"/>
  <c r="H204" i="9"/>
  <c r="H163" i="9"/>
  <c r="H159" i="9"/>
  <c r="H187" i="9"/>
  <c r="H207" i="9"/>
  <c r="H160" i="9"/>
  <c r="G176" i="9"/>
  <c r="G208" i="9"/>
  <c r="H202" i="9"/>
  <c r="H195" i="9"/>
  <c r="G165" i="9"/>
  <c r="H223" i="9"/>
  <c r="H222" i="9"/>
  <c r="H164" i="9"/>
  <c r="G180" i="9"/>
  <c r="G220" i="9"/>
  <c r="G201" i="9"/>
  <c r="H217" i="9"/>
  <c r="H210" i="9"/>
  <c r="G211" i="9"/>
  <c r="H221" i="9"/>
  <c r="G175" i="9"/>
  <c r="H191" i="9"/>
  <c r="H154" i="9"/>
  <c r="H167" i="9"/>
  <c r="H176" i="9"/>
  <c r="G200" i="9"/>
  <c r="H208" i="9"/>
  <c r="G161" i="9"/>
  <c r="G171" i="9"/>
  <c r="H179" i="9"/>
  <c r="H165" i="9"/>
  <c r="H199" i="9"/>
  <c r="H155" i="9"/>
  <c r="G206" i="9"/>
  <c r="H214" i="9"/>
  <c r="H162" i="9"/>
  <c r="H156" i="9"/>
  <c r="G172" i="9"/>
  <c r="H180" i="9"/>
  <c r="G212" i="9"/>
  <c r="H220" i="9"/>
  <c r="G183" i="9"/>
  <c r="H215" i="9"/>
  <c r="G96" i="9"/>
  <c r="G140" i="9"/>
  <c r="H97" i="9"/>
  <c r="G84" i="9"/>
  <c r="H136" i="9"/>
  <c r="G102" i="9"/>
  <c r="H135" i="9"/>
  <c r="H95" i="9"/>
  <c r="G117" i="9"/>
  <c r="G120" i="9"/>
  <c r="G146" i="9"/>
  <c r="G88" i="9"/>
  <c r="H83" i="9"/>
  <c r="G132" i="9"/>
  <c r="H100" i="9"/>
  <c r="G138" i="9"/>
  <c r="G128" i="9"/>
  <c r="H115" i="9"/>
  <c r="H147" i="9"/>
  <c r="G87" i="9"/>
  <c r="G106" i="9"/>
  <c r="H112" i="9"/>
  <c r="H148" i="9"/>
  <c r="G94" i="9"/>
  <c r="G116" i="9"/>
  <c r="H102" i="9"/>
  <c r="G151" i="9"/>
  <c r="H117" i="9"/>
  <c r="H146" i="9"/>
  <c r="H88" i="9"/>
  <c r="H90" i="9"/>
  <c r="H138" i="9"/>
  <c r="G131" i="9"/>
  <c r="H106" i="9"/>
  <c r="H96" i="9"/>
  <c r="H84" i="9"/>
  <c r="G119" i="9"/>
  <c r="H140" i="9"/>
  <c r="G89" i="9"/>
  <c r="G97" i="9"/>
  <c r="G150" i="9"/>
  <c r="G136" i="9"/>
  <c r="G111" i="9"/>
  <c r="H119" i="9"/>
  <c r="G143" i="9"/>
  <c r="H151" i="9"/>
  <c r="G95" i="9"/>
  <c r="G118" i="9"/>
  <c r="H134" i="9"/>
  <c r="H120" i="9"/>
  <c r="H114" i="9"/>
  <c r="H93" i="9"/>
  <c r="H82" i="9"/>
  <c r="G90" i="9"/>
  <c r="G83" i="9"/>
  <c r="H125" i="9"/>
  <c r="H86" i="9"/>
  <c r="G109" i="9"/>
  <c r="H132" i="9"/>
  <c r="G85" i="9"/>
  <c r="G100" i="9"/>
  <c r="H110" i="9"/>
  <c r="H128" i="9"/>
  <c r="G123" i="9"/>
  <c r="H131" i="9"/>
  <c r="H87" i="9"/>
  <c r="G101" i="9"/>
  <c r="H133" i="9"/>
  <c r="G142" i="9"/>
  <c r="G112" i="9"/>
  <c r="G103" i="9"/>
  <c r="G130" i="9"/>
  <c r="G148" i="9"/>
  <c r="H116" i="9"/>
  <c r="H91" i="9"/>
  <c r="H141" i="9"/>
  <c r="G40" i="9"/>
  <c r="G30" i="9"/>
  <c r="H22" i="9"/>
  <c r="G12" i="9"/>
  <c r="G50" i="9"/>
  <c r="G32" i="9"/>
  <c r="H46" i="9"/>
  <c r="G58" i="9"/>
  <c r="H34" i="9"/>
  <c r="H30" i="9"/>
  <c r="G42" i="9"/>
  <c r="G22" i="9"/>
  <c r="G79" i="9"/>
  <c r="G72" i="9"/>
  <c r="B7" i="9"/>
  <c r="E6" i="9"/>
  <c r="I10" i="9"/>
  <c r="I6" i="9"/>
  <c r="H18" i="9"/>
  <c r="G11" i="9"/>
  <c r="H19" i="9"/>
  <c r="G35" i="9"/>
  <c r="G67" i="9"/>
  <c r="G68" i="9"/>
  <c r="H12" i="9"/>
  <c r="H50" i="9"/>
  <c r="H14" i="9"/>
  <c r="G71" i="9"/>
  <c r="G46" i="9"/>
  <c r="G34" i="9"/>
  <c r="G19" i="9"/>
  <c r="G76" i="9"/>
  <c r="G16" i="9"/>
  <c r="H24" i="9"/>
  <c r="H40" i="9"/>
  <c r="G64" i="9"/>
  <c r="G26" i="9"/>
  <c r="H58" i="9"/>
  <c r="G78" i="9"/>
  <c r="G25" i="9"/>
  <c r="G44" i="9"/>
  <c r="G38" i="9"/>
  <c r="H42" i="9"/>
  <c r="G23" i="9"/>
  <c r="G63" i="9"/>
  <c r="H79" i="9"/>
  <c r="G56" i="9"/>
  <c r="H10" i="9"/>
  <c r="G18" i="9"/>
  <c r="H11" i="9"/>
  <c r="G27" i="9"/>
  <c r="H35" i="9"/>
  <c r="G59" i="9"/>
  <c r="H67" i="9"/>
  <c r="G52" i="9"/>
  <c r="H76" i="9"/>
  <c r="G60" i="9"/>
  <c r="G66" i="9"/>
  <c r="G14" i="9"/>
  <c r="G55" i="9"/>
  <c r="H71" i="9"/>
  <c r="G80" i="9"/>
</calcChain>
</file>

<file path=xl/comments1.xml><?xml version="1.0" encoding="utf-8"?>
<comments xmlns="http://schemas.openxmlformats.org/spreadsheetml/2006/main">
  <authors>
    <author>Heather Durand</author>
  </authors>
  <commentList>
    <comment ref="I1" authorId="0">
      <text>
        <r>
          <rPr>
            <b/>
            <sz val="9"/>
            <color indexed="81"/>
            <rFont val="Calibri"/>
            <family val="2"/>
          </rPr>
          <t>Heather Durand:</t>
        </r>
        <r>
          <rPr>
            <sz val="9"/>
            <color indexed="81"/>
            <rFont val="Calibri"/>
            <family val="2"/>
          </rPr>
          <t xml:space="preserve">
For this tab, the data only needs to be pasted from output from plate reader data program. Paste just data into plate 1 box. If multiple plates, add accordingly. Template set up for 8 plates (up to 192 samples).</t>
        </r>
      </text>
    </comment>
    <comment ref="B5" authorId="0">
      <text>
        <r>
          <rPr>
            <b/>
            <sz val="9"/>
            <color indexed="81"/>
            <rFont val="Calibri"/>
            <family val="2"/>
          </rPr>
          <t>Heather Durand:</t>
        </r>
        <r>
          <rPr>
            <sz val="9"/>
            <color indexed="81"/>
            <rFont val="Calibri"/>
            <family val="2"/>
          </rPr>
          <t xml:space="preserve">
Column 1 is always the standard curve data.</t>
        </r>
      </text>
    </comment>
    <comment ref="E5" authorId="0">
      <text>
        <r>
          <rPr>
            <b/>
            <sz val="9"/>
            <color indexed="81"/>
            <rFont val="Calibri"/>
            <family val="2"/>
          </rPr>
          <t>Heather Durand:</t>
        </r>
        <r>
          <rPr>
            <sz val="9"/>
            <color indexed="81"/>
            <rFont val="Calibri"/>
            <family val="2"/>
          </rPr>
          <t xml:space="preserve">
Samples are measured in triplicate. Columns 2-4 = samples 1-8. Columns 5-7 = samples 9-16. Columns 8-10 = samples 17 -24.
Triplicates go across (i.e. Sample 1 is in Wells A2, A3, A4).
</t>
        </r>
      </text>
    </comment>
  </commentList>
</comments>
</file>

<file path=xl/comments2.xml><?xml version="1.0" encoding="utf-8"?>
<comments xmlns="http://schemas.openxmlformats.org/spreadsheetml/2006/main">
  <authors>
    <author>Heather Durand</author>
  </authors>
  <commentList>
    <comment ref="A3" authorId="0">
      <text>
        <r>
          <rPr>
            <b/>
            <sz val="9"/>
            <color indexed="81"/>
            <rFont val="Calibri"/>
            <family val="2"/>
          </rPr>
          <t>Heather Durand:</t>
        </r>
        <r>
          <rPr>
            <sz val="9"/>
            <color indexed="81"/>
            <rFont val="Calibri"/>
            <family val="2"/>
          </rPr>
          <t xml:space="preserve">
1) Enter Sample ID &amp; Sample Location (well from Amplicon Cleaning Plate) in 1st two columns below.</t>
        </r>
      </text>
    </comment>
  </commentList>
</comments>
</file>

<file path=xl/comments3.xml><?xml version="1.0" encoding="utf-8"?>
<comments xmlns="http://schemas.openxmlformats.org/spreadsheetml/2006/main">
  <authors>
    <author>Heather Durand</author>
  </authors>
  <commentList>
    <comment ref="E1" authorId="0">
      <text>
        <r>
          <rPr>
            <b/>
            <sz val="9"/>
            <color indexed="81"/>
            <rFont val="Calibri"/>
            <family val="2"/>
          </rPr>
          <t>Heather Durand:</t>
        </r>
        <r>
          <rPr>
            <sz val="9"/>
            <color indexed="81"/>
            <rFont val="Calibri"/>
            <family val="2"/>
          </rPr>
          <t xml:space="preserve">
1) </t>
        </r>
        <r>
          <rPr>
            <b/>
            <sz val="9"/>
            <color indexed="81"/>
            <rFont val="Calibri"/>
            <family val="2"/>
          </rPr>
          <t>This table is designed to determine the amounts of each sample needed to add to the pool for seaquencing each sample ideally in equal proportions. All the calculations are built into the sheet. Once the  "Linear Regression Fit" column is filled out on the Picogreen Tab (green tab), and "Sample ID" column on Intermediate Results Tab (Orange Tab) on all the other data will populate automatically.</t>
        </r>
      </text>
    </comment>
    <comment ref="A6" authorId="0">
      <text>
        <r>
          <rPr>
            <b/>
            <sz val="9"/>
            <color indexed="81"/>
            <rFont val="Calibri"/>
            <family val="2"/>
          </rPr>
          <t>Heather Durand:</t>
        </r>
        <r>
          <rPr>
            <sz val="9"/>
            <color indexed="81"/>
            <rFont val="Calibri"/>
            <family val="2"/>
          </rPr>
          <t xml:space="preserve">
2)This number is set arbitraily and adjusted, so that the minimum pool is &gt;1 to reduce pipetting errors.
</t>
        </r>
      </text>
    </comment>
    <comment ref="B6" authorId="0">
      <text>
        <r>
          <rPr>
            <b/>
            <sz val="9"/>
            <color indexed="81"/>
            <rFont val="Calibri"/>
            <family val="2"/>
          </rPr>
          <t>Heather Durand:</t>
        </r>
        <r>
          <rPr>
            <sz val="9"/>
            <color indexed="81"/>
            <rFont val="Calibri"/>
            <family val="2"/>
          </rPr>
          <t xml:space="preserve">
3)Adjust "Desired DNA" amount until this number is GREATER than 1 ot reduce possible pipetting errors. </t>
        </r>
      </text>
    </comment>
    <comment ref="C6" authorId="0">
      <text>
        <r>
          <rPr>
            <b/>
            <sz val="9"/>
            <color indexed="81"/>
            <rFont val="Calibri"/>
            <family val="2"/>
          </rPr>
          <t>Heather Durand:</t>
        </r>
        <r>
          <rPr>
            <sz val="9"/>
            <color indexed="81"/>
            <rFont val="Calibri"/>
            <family val="2"/>
          </rPr>
          <t xml:space="preserve">
4)Ideally, the maximum amount to pool should not be more that 5x the minimum amount to pool, to avoid over-expression of a particular sample during sequencing.</t>
        </r>
      </text>
    </comment>
    <comment ref="I6" authorId="0">
      <text>
        <r>
          <rPr>
            <b/>
            <sz val="9"/>
            <color indexed="81"/>
            <rFont val="Calibri"/>
            <family val="2"/>
          </rPr>
          <t>Heather Durand:</t>
        </r>
        <r>
          <rPr>
            <sz val="9"/>
            <color indexed="81"/>
            <rFont val="Calibri"/>
            <family val="2"/>
          </rPr>
          <t xml:space="preserve">
5)Should be less than 5 as MinElute kit can't handle more than 5 μg DNA. Ideally should be close to 2.5. If more than 5, only do 100 ul in the kit. </t>
        </r>
      </text>
    </comment>
  </commentList>
</comments>
</file>

<file path=xl/sharedStrings.xml><?xml version="1.0" encoding="utf-8"?>
<sst xmlns="http://schemas.openxmlformats.org/spreadsheetml/2006/main" count="791" uniqueCount="655">
  <si>
    <t>SAMPLE ID</t>
  </si>
  <si>
    <t>Sample Loc</t>
  </si>
  <si>
    <t>Ideal Pool</t>
  </si>
  <si>
    <t>Capped Pool</t>
  </si>
  <si>
    <t>Difference (Ideal -Capped)</t>
  </si>
  <si>
    <t>Added to Pool</t>
  </si>
  <si>
    <t>Sum ng DNA</t>
  </si>
  <si>
    <t>Amplicon size [bp]</t>
  </si>
  <si>
    <t>Sample Location</t>
  </si>
  <si>
    <t>Notes</t>
  </si>
  <si>
    <t>Desired DNA (ng)</t>
  </si>
  <si>
    <t>Nanomolar Concentration [nM]</t>
  </si>
  <si>
    <t>&lt;- ((Final Conc./1000)/(Amplicon Size*660))*(1*10^9)</t>
  </si>
  <si>
    <t>Minimum Desired Concentration [nM]</t>
  </si>
  <si>
    <t>Final Sequencing Preparations for Pooled DNA Sample</t>
  </si>
  <si>
    <t>Total μg of DNA in pool=</t>
  </si>
  <si>
    <t xml:space="preserve">Total Volume of Pooled DNA(μl) = </t>
  </si>
  <si>
    <t>Maximum to pool (μl)</t>
  </si>
  <si>
    <t>Minimum amount to pool (μl)</t>
  </si>
  <si>
    <t>Final QuBit Concentration for Pooled DNA [ng/μL]</t>
  </si>
  <si>
    <t>Desired Volume [μL]</t>
  </si>
  <si>
    <t>Volume of Sample [μL]</t>
  </si>
  <si>
    <t>Volume of Elution Buffer from Gel Extraction Kit (WI-015)  [μL]</t>
  </si>
  <si>
    <r>
      <rPr>
        <b/>
        <i/>
        <sz val="12"/>
        <color theme="0"/>
        <rFont val="Calibri"/>
        <family val="2"/>
        <scheme val="minor"/>
      </rPr>
      <t>IF</t>
    </r>
    <r>
      <rPr>
        <sz val="12"/>
        <color theme="0"/>
        <rFont val="Calibri"/>
        <family val="2"/>
        <scheme val="minor"/>
      </rPr>
      <t xml:space="preserve"> requested by Dr. David, sample can be diluted using the calculation below to obtain exactly 10nM solution @ 20 μL. Otherwise, just aliquot 20μL of Pooled DNA into a 1.5 ml Eppendorf Tube in the PCR Hood and label with Sequecing Core Order #, Final Concentration, and Date</t>
    </r>
  </si>
  <si>
    <t>Ideal/ Capped</t>
  </si>
  <si>
    <t>A</t>
  </si>
  <si>
    <t>B</t>
  </si>
  <si>
    <t>C</t>
  </si>
  <si>
    <t>D</t>
  </si>
  <si>
    <t>E</t>
  </si>
  <si>
    <t>F</t>
  </si>
  <si>
    <t>G</t>
  </si>
  <si>
    <t>H</t>
  </si>
  <si>
    <r>
      <t xml:space="preserve">CLICK LAST ROW IN TABLE 
</t>
    </r>
    <r>
      <rPr>
        <b/>
        <i/>
        <sz val="12"/>
        <color theme="1"/>
        <rFont val="Calibri"/>
        <family val="2"/>
        <scheme val="minor"/>
      </rPr>
      <t>BEFORE</t>
    </r>
    <r>
      <rPr>
        <sz val="12"/>
        <color theme="1"/>
        <rFont val="Calibri"/>
        <family val="2"/>
        <scheme val="minor"/>
      </rPr>
      <t xml:space="preserve"> ADDING  CLICKING 
ADD MORE ROWS!</t>
    </r>
  </si>
  <si>
    <t>A1 plate 1</t>
  </si>
  <si>
    <t>B1 plate 1</t>
  </si>
  <si>
    <t>C1 plate 1</t>
  </si>
  <si>
    <t>D1 plate 1</t>
  </si>
  <si>
    <t>E1 plate 1</t>
  </si>
  <si>
    <t>F1 plate 1</t>
  </si>
  <si>
    <t>G1 plate 1</t>
  </si>
  <si>
    <t>H1 plate 1</t>
  </si>
  <si>
    <t>A5 plate 1</t>
  </si>
  <si>
    <t>B5 plate 1</t>
  </si>
  <si>
    <t>C5 plate 1</t>
  </si>
  <si>
    <t>D5 plate 1</t>
  </si>
  <si>
    <t>E5 plate 1</t>
  </si>
  <si>
    <t>F5 plate 1</t>
  </si>
  <si>
    <t>G5 plate 1</t>
  </si>
  <si>
    <t>H5 plate 1</t>
  </si>
  <si>
    <t>A9 plate 1</t>
  </si>
  <si>
    <t>B9 plate 1</t>
  </si>
  <si>
    <t>C9 plate 1</t>
  </si>
  <si>
    <t>D9 plate 1</t>
  </si>
  <si>
    <t>E9 plate 1</t>
  </si>
  <si>
    <t>F9 plate 1</t>
  </si>
  <si>
    <t>G9 plate 1</t>
  </si>
  <si>
    <t>H9 plate 1</t>
  </si>
  <si>
    <t>A1 plate 2</t>
  </si>
  <si>
    <t>B1 plate 2</t>
  </si>
  <si>
    <t>C1 plate 2</t>
  </si>
  <si>
    <t>D1 plate 2</t>
  </si>
  <si>
    <t>E1 plate 2</t>
  </si>
  <si>
    <t>F1 plate 2</t>
  </si>
  <si>
    <t>G1 plate 2</t>
  </si>
  <si>
    <t>H1 plate 2</t>
  </si>
  <si>
    <t>A5 plate 2</t>
  </si>
  <si>
    <t>B5 plate 2</t>
  </si>
  <si>
    <t>C5 plate 2</t>
  </si>
  <si>
    <t>D5 plate 2</t>
  </si>
  <si>
    <t>E5 plate 2</t>
  </si>
  <si>
    <t>F5 plate 2</t>
  </si>
  <si>
    <t>G5 plate 2</t>
  </si>
  <si>
    <t>H5 plate 2</t>
  </si>
  <si>
    <t>A9 plate 2</t>
  </si>
  <si>
    <t>B9 plate 2</t>
  </si>
  <si>
    <t>C9 plate 2</t>
  </si>
  <si>
    <t>D9 plate 2</t>
  </si>
  <si>
    <t>E9 plate 2</t>
  </si>
  <si>
    <t>F9 plate 2</t>
  </si>
  <si>
    <t>G9 plate 2</t>
  </si>
  <si>
    <t>H9 plate 2</t>
  </si>
  <si>
    <r>
      <t xml:space="preserve">NOTE: this file is a template and designed to be used with WI-009 (Picogreen Quant) &amp; WI 015, </t>
    </r>
    <r>
      <rPr>
        <b/>
        <i/>
        <sz val="12"/>
        <color theme="1"/>
        <rFont val="Calibri"/>
        <family val="2"/>
        <scheme val="minor"/>
      </rPr>
      <t>if you used Qubit quant, please use template WI-020</t>
    </r>
    <r>
      <rPr>
        <b/>
        <sz val="12"/>
        <color theme="1"/>
        <rFont val="Calibri"/>
        <family val="2"/>
        <scheme val="minor"/>
      </rPr>
      <t xml:space="preserve">. Please </t>
    </r>
    <r>
      <rPr>
        <b/>
        <sz val="12"/>
        <color rgb="FFFF0000"/>
        <rFont val="Calibri"/>
        <family val="2"/>
        <scheme val="minor"/>
      </rPr>
      <t xml:space="preserve">SAVE AS and give new file name. </t>
    </r>
  </si>
  <si>
    <t>PLATE 1</t>
  </si>
  <si>
    <t>PLATE 2</t>
  </si>
  <si>
    <t>PLATE 3</t>
  </si>
  <si>
    <t>PLATE 4</t>
  </si>
  <si>
    <t>A1 plate 3</t>
  </si>
  <si>
    <t>B1 plate 3</t>
  </si>
  <si>
    <t>C1 plate 3</t>
  </si>
  <si>
    <t>D1 plate 3</t>
  </si>
  <si>
    <t>E1 plate 3</t>
  </si>
  <si>
    <t>F1 plate 3</t>
  </si>
  <si>
    <t>G1 plate 3</t>
  </si>
  <si>
    <t>H1 plate 3</t>
  </si>
  <si>
    <t>A5 plate 3</t>
  </si>
  <si>
    <t>B5 plate 3</t>
  </si>
  <si>
    <t>C5 plate 3</t>
  </si>
  <si>
    <t>D5 plate 3</t>
  </si>
  <si>
    <t>E5 plate 3</t>
  </si>
  <si>
    <t>F5 plate 3</t>
  </si>
  <si>
    <t>G5 plate 3</t>
  </si>
  <si>
    <t>H5 plate 3</t>
  </si>
  <si>
    <t>A9 plate 3</t>
  </si>
  <si>
    <t>B9 plate 3</t>
  </si>
  <si>
    <t>C9 plate 3</t>
  </si>
  <si>
    <t>D9 plate 3</t>
  </si>
  <si>
    <t>E9 plate 3</t>
  </si>
  <si>
    <t>F9 plate 3</t>
  </si>
  <si>
    <t>G9 plate 3</t>
  </si>
  <si>
    <t>H9 plate 3</t>
  </si>
  <si>
    <t>A1 plate 4</t>
  </si>
  <si>
    <t>B1 plate 4</t>
  </si>
  <si>
    <t>C1 plate 4</t>
  </si>
  <si>
    <t>D1 plate 4</t>
  </si>
  <si>
    <t>E1 plate 4</t>
  </si>
  <si>
    <t>F1 plate 4</t>
  </si>
  <si>
    <t>G1 plate 4</t>
  </si>
  <si>
    <t>H1 plate 4</t>
  </si>
  <si>
    <t>A5 plate 4</t>
  </si>
  <si>
    <t>B5 plate 4</t>
  </si>
  <si>
    <t>C5 plate 4</t>
  </si>
  <si>
    <t>D5 plate 4</t>
  </si>
  <si>
    <t>E5 plate 4</t>
  </si>
  <si>
    <t>F5 plate 4</t>
  </si>
  <si>
    <t>G5 plate 4</t>
  </si>
  <si>
    <t>H5 plate 4</t>
  </si>
  <si>
    <t>A9 plate 4</t>
  </si>
  <si>
    <t>B9 plate 4</t>
  </si>
  <si>
    <t>C9 plate 4</t>
  </si>
  <si>
    <t>D9 plate 4</t>
  </si>
  <si>
    <t>E9 plate 4</t>
  </si>
  <si>
    <t>F9 plate 4</t>
  </si>
  <si>
    <t>G9 plate 4</t>
  </si>
  <si>
    <t>H9 plate 4</t>
  </si>
  <si>
    <t>A1 plate 6</t>
  </si>
  <si>
    <t>B1 plate 6</t>
  </si>
  <si>
    <t>C1 plate 6</t>
  </si>
  <si>
    <t>D1 plate 6</t>
  </si>
  <si>
    <t>E1 plate 6</t>
  </si>
  <si>
    <t>F1 plate 6</t>
  </si>
  <si>
    <t>G1 plate 6</t>
  </si>
  <si>
    <t>H1 plate 6</t>
  </si>
  <si>
    <t>A5 plate 6</t>
  </si>
  <si>
    <t>B5 plate 6</t>
  </si>
  <si>
    <t>C5 plate 6</t>
  </si>
  <si>
    <t>D5 plate 6</t>
  </si>
  <si>
    <t>E5 plate 6</t>
  </si>
  <si>
    <t>F5 plate 6</t>
  </si>
  <si>
    <t>G5 plate 6</t>
  </si>
  <si>
    <t>H5 plate 6</t>
  </si>
  <si>
    <t>A9 plate 6</t>
  </si>
  <si>
    <t>B9 plate 6</t>
  </si>
  <si>
    <t>C9 plate 6</t>
  </si>
  <si>
    <t>D9 plate 6</t>
  </si>
  <si>
    <t>E9 plate 6</t>
  </si>
  <si>
    <t>F9 plate 6</t>
  </si>
  <si>
    <t>G9 plate 6</t>
  </si>
  <si>
    <t>H9 plate 6</t>
  </si>
  <si>
    <t>A1 plate 5</t>
  </si>
  <si>
    <t>B1 plate 5</t>
  </si>
  <si>
    <t>C1 plate 5</t>
  </si>
  <si>
    <t>D1 plate 5</t>
  </si>
  <si>
    <t>E1 plate 5</t>
  </si>
  <si>
    <t>F1 plate 5</t>
  </si>
  <si>
    <t>G1 plate 5</t>
  </si>
  <si>
    <t>H1 plate 5</t>
  </si>
  <si>
    <t>A5 plate 5</t>
  </si>
  <si>
    <t>B5 plate 5</t>
  </si>
  <si>
    <t>C5 plate 5</t>
  </si>
  <si>
    <t>D5 plate 5</t>
  </si>
  <si>
    <t>E5 plate 5</t>
  </si>
  <si>
    <t>F5 plate 5</t>
  </si>
  <si>
    <t>G5 plate 5</t>
  </si>
  <si>
    <t>H5 plate 5</t>
  </si>
  <si>
    <t>A9 plate 5</t>
  </si>
  <si>
    <t>B9 plate 5</t>
  </si>
  <si>
    <t>C9 plate 5</t>
  </si>
  <si>
    <t>D9 plate 5</t>
  </si>
  <si>
    <t>E9 plate 5</t>
  </si>
  <si>
    <t>F9 plate 5</t>
  </si>
  <si>
    <t>G9 plate 5</t>
  </si>
  <si>
    <t>H9 plate 5</t>
  </si>
  <si>
    <t>A1 plate 7</t>
  </si>
  <si>
    <t>B1 plate 7</t>
  </si>
  <si>
    <t>C1 plate 7</t>
  </si>
  <si>
    <t>D1 plate 7</t>
  </si>
  <si>
    <t>E1 plate 7</t>
  </si>
  <si>
    <t>F1 plate 7</t>
  </si>
  <si>
    <t>G1 plate 7</t>
  </si>
  <si>
    <t>H1 plate 7</t>
  </si>
  <si>
    <t>A5 plate 7</t>
  </si>
  <si>
    <t>B5 plate 7</t>
  </si>
  <si>
    <t>C5 plate 7</t>
  </si>
  <si>
    <t>D5 plate 7</t>
  </si>
  <si>
    <t>E5 plate 7</t>
  </si>
  <si>
    <t>F5 plate 7</t>
  </si>
  <si>
    <t>G5 plate 7</t>
  </si>
  <si>
    <t>H5 plate 7</t>
  </si>
  <si>
    <t>A9 plate 7</t>
  </si>
  <si>
    <t>B9 plate 7</t>
  </si>
  <si>
    <t>C9 plate 7</t>
  </si>
  <si>
    <t>D9 plate 7</t>
  </si>
  <si>
    <t>E9 plate 7</t>
  </si>
  <si>
    <t>F9 plate 7</t>
  </si>
  <si>
    <t>G9 plate 7</t>
  </si>
  <si>
    <t>H9 plate 7</t>
  </si>
  <si>
    <t>A1 plate 8</t>
  </si>
  <si>
    <t>B1 plate 8</t>
  </si>
  <si>
    <t>C1 plate 8</t>
  </si>
  <si>
    <t>D1 plate 8</t>
  </si>
  <si>
    <t>E1 plate 8</t>
  </si>
  <si>
    <t>F1 plate 8</t>
  </si>
  <si>
    <t>G1 plate 8</t>
  </si>
  <si>
    <t>H1 plate 8</t>
  </si>
  <si>
    <t>A5 plate 8</t>
  </si>
  <si>
    <t>B5 plate 8</t>
  </si>
  <si>
    <t>C5 plate 8</t>
  </si>
  <si>
    <t>D5 plate 8</t>
  </si>
  <si>
    <t>E5 plate 8</t>
  </si>
  <si>
    <t>F5 plate 8</t>
  </si>
  <si>
    <t>G5 plate 8</t>
  </si>
  <si>
    <t>H5 plate 8</t>
  </si>
  <si>
    <t>A9 plate 8</t>
  </si>
  <si>
    <t>B9 plate 8</t>
  </si>
  <si>
    <t>C9 plate 8</t>
  </si>
  <si>
    <t>D9 plate 8</t>
  </si>
  <si>
    <t>E9 plate 8</t>
  </si>
  <si>
    <t>F9 plate 8</t>
  </si>
  <si>
    <t>G9 plate 8</t>
  </si>
  <si>
    <t>H9 plate 8</t>
  </si>
  <si>
    <t>PLATE 5</t>
  </si>
  <si>
    <t>PLATE 6</t>
  </si>
  <si>
    <t>PLATE 7</t>
  </si>
  <si>
    <t>PLATE 8</t>
  </si>
  <si>
    <r>
      <t xml:space="preserve">NOTE: this file is a template and designed to be used with WI-009 (Picogreen Quant) &amp; WI 015, if you used Qubit quant, please use template WI-020. </t>
    </r>
    <r>
      <rPr>
        <b/>
        <sz val="12"/>
        <color rgb="FFFF0000"/>
        <rFont val="Calibri"/>
        <family val="2"/>
        <scheme val="minor"/>
      </rPr>
      <t>Please SAVE AS and give new file name</t>
    </r>
    <r>
      <rPr>
        <b/>
        <sz val="12"/>
        <color theme="1"/>
        <rFont val="Calibri"/>
        <family val="2"/>
        <scheme val="minor"/>
      </rPr>
      <t xml:space="preserve">. 
Paste "LINEAR REGRESSION FIT BASED ON RAW DATA" from data set exported from plate reader computer. If only one plate used, paste in area for plate 1, then paste subsequent plates in order after. Template designed for up to 8 plates (192 samples). </t>
    </r>
  </si>
  <si>
    <t>Used for Stand Curve</t>
  </si>
  <si>
    <t xml:space="preserve"> columns 11/12 not used</t>
  </si>
  <si>
    <t>Picogreen Result (ng/μl)</t>
  </si>
  <si>
    <t>A2 plate 1</t>
  </si>
  <si>
    <t>B2 plate 1</t>
  </si>
  <si>
    <t>C2 plate 1</t>
  </si>
  <si>
    <t>D2 plate 1</t>
  </si>
  <si>
    <t>E2 plate 1</t>
  </si>
  <si>
    <t>F2 plate 1</t>
  </si>
  <si>
    <t>G2 plate 1</t>
  </si>
  <si>
    <t>H2 plate 1</t>
  </si>
  <si>
    <t>A3 plate 1</t>
  </si>
  <si>
    <t>B3 plate 1</t>
  </si>
  <si>
    <t>C3 plate 1</t>
  </si>
  <si>
    <t>D3 plate 1</t>
  </si>
  <si>
    <t>E3 plate 1</t>
  </si>
  <si>
    <t>F3 plate 1</t>
  </si>
  <si>
    <t>G3 plate 1</t>
  </si>
  <si>
    <t>H3 plate 1</t>
  </si>
  <si>
    <t>A4 plate 1</t>
  </si>
  <si>
    <t>B4 plate 1</t>
  </si>
  <si>
    <t>C4 plate 1</t>
  </si>
  <si>
    <t>D4 plate 1</t>
  </si>
  <si>
    <t>E4 plate 1</t>
  </si>
  <si>
    <t>F4 plate 1</t>
  </si>
  <si>
    <t>G4 plate 1</t>
  </si>
  <si>
    <t>H4 plate 1</t>
  </si>
  <si>
    <t>A6 plate 1</t>
  </si>
  <si>
    <t>B6 plate 1</t>
  </si>
  <si>
    <t>C6 plate 1</t>
  </si>
  <si>
    <t>D6 plate 1</t>
  </si>
  <si>
    <t>E6 plate 1</t>
  </si>
  <si>
    <t>F6 plate 1</t>
  </si>
  <si>
    <t>G6 plate 1</t>
  </si>
  <si>
    <t>H6 plate 1</t>
  </si>
  <si>
    <t>A7 plate 1</t>
  </si>
  <si>
    <t>B7 plate 1</t>
  </si>
  <si>
    <t>C7 plate 1</t>
  </si>
  <si>
    <t>D7 plate 1</t>
  </si>
  <si>
    <t>E7 plate 1</t>
  </si>
  <si>
    <t>F7 plate 1</t>
  </si>
  <si>
    <t>G7 plate 1</t>
  </si>
  <si>
    <t>H7 plate 1</t>
  </si>
  <si>
    <t>A8 plate 1</t>
  </si>
  <si>
    <t>B8 plate 1</t>
  </si>
  <si>
    <t>C8 plate 1</t>
  </si>
  <si>
    <t>D8 plate 1</t>
  </si>
  <si>
    <t>E8 plate 1</t>
  </si>
  <si>
    <t>F8 plate 1</t>
  </si>
  <si>
    <t>G8 plate 1</t>
  </si>
  <si>
    <t>H8 plate 1</t>
  </si>
  <si>
    <t>A10 plate 1</t>
  </si>
  <si>
    <t>B10 plate 1</t>
  </si>
  <si>
    <t>C10 plate 1</t>
  </si>
  <si>
    <t>D10 plate 1</t>
  </si>
  <si>
    <t>E10 plate 1</t>
  </si>
  <si>
    <t>F10 plate 1</t>
  </si>
  <si>
    <t>G10 plate 1</t>
  </si>
  <si>
    <t>H10 plate 1</t>
  </si>
  <si>
    <t>A11 plate 1</t>
  </si>
  <si>
    <t>B11 plate 1</t>
  </si>
  <si>
    <t>C11 plate 1</t>
  </si>
  <si>
    <t>D11 plate 1</t>
  </si>
  <si>
    <t>E11 plate 1</t>
  </si>
  <si>
    <t>F11 plate 1</t>
  </si>
  <si>
    <t>G11 plate 1</t>
  </si>
  <si>
    <t>H11 plate 1</t>
  </si>
  <si>
    <t>A12 plate 1</t>
  </si>
  <si>
    <t>B12 plate 1</t>
  </si>
  <si>
    <t>C12 plate 1</t>
  </si>
  <si>
    <t>D12 plate 1</t>
  </si>
  <si>
    <t>E12 plate 1</t>
  </si>
  <si>
    <t>F12 plate 1</t>
  </si>
  <si>
    <t>G12 plate 1</t>
  </si>
  <si>
    <t>H12 plate 1</t>
  </si>
  <si>
    <t>A2 plate 2</t>
  </si>
  <si>
    <t>B2 plate 2</t>
  </si>
  <si>
    <t>C2 plate 2</t>
  </si>
  <si>
    <t>D2 plate 2</t>
  </si>
  <si>
    <t>E2 plate 2</t>
  </si>
  <si>
    <t>F2 plate 2</t>
  </si>
  <si>
    <t>G2 plate 2</t>
  </si>
  <si>
    <t>H2 plate 2</t>
  </si>
  <si>
    <t>A3 plate 2</t>
  </si>
  <si>
    <t>B3 plate 2</t>
  </si>
  <si>
    <t>C3 plate 2</t>
  </si>
  <si>
    <t>D3 plate 2</t>
  </si>
  <si>
    <t>E3 plate 2</t>
  </si>
  <si>
    <t>F3 plate 2</t>
  </si>
  <si>
    <t>G3 plate 2</t>
  </si>
  <si>
    <t>H3 plate 2</t>
  </si>
  <si>
    <t>A4 plate 2</t>
  </si>
  <si>
    <t>B4 plate 2</t>
  </si>
  <si>
    <t>C4 plate 2</t>
  </si>
  <si>
    <t>D4 plate 2</t>
  </si>
  <si>
    <t>E4 plate 2</t>
  </si>
  <si>
    <t>F4 plate 2</t>
  </si>
  <si>
    <t>G4 plate 2</t>
  </si>
  <si>
    <t>H4 plate 2</t>
  </si>
  <si>
    <t>A6 plate 2</t>
  </si>
  <si>
    <t>B6 plate 2</t>
  </si>
  <si>
    <t>C6 plate 2</t>
  </si>
  <si>
    <t>D6 plate 2</t>
  </si>
  <si>
    <t>E6 plate 2</t>
  </si>
  <si>
    <t>F6 plate 2</t>
  </si>
  <si>
    <t>G6 plate 2</t>
  </si>
  <si>
    <t>H6 plate 2</t>
  </si>
  <si>
    <t>A7 plate 2</t>
  </si>
  <si>
    <t>B7 plate 2</t>
  </si>
  <si>
    <t>C7 plate 2</t>
  </si>
  <si>
    <t>D7 plate 2</t>
  </si>
  <si>
    <t>E7 plate 2</t>
  </si>
  <si>
    <t>F7 plate 2</t>
  </si>
  <si>
    <t>G7 plate 2</t>
  </si>
  <si>
    <t>H7 plate 2</t>
  </si>
  <si>
    <t>A8 plate 2</t>
  </si>
  <si>
    <t>B8 plate 2</t>
  </si>
  <si>
    <t>C8 plate 2</t>
  </si>
  <si>
    <t>D8 plate 2</t>
  </si>
  <si>
    <t>E8 plate 2</t>
  </si>
  <si>
    <t>F8 plate 2</t>
  </si>
  <si>
    <t>G8 plate 2</t>
  </si>
  <si>
    <t>H8 plate 2</t>
  </si>
  <si>
    <t>A10 plate 2</t>
  </si>
  <si>
    <t>B10 plate 2</t>
  </si>
  <si>
    <t>C10 plate 2</t>
  </si>
  <si>
    <t>D10 plate 2</t>
  </si>
  <si>
    <t>E10 plate 2</t>
  </si>
  <si>
    <t>F10 plate 2</t>
  </si>
  <si>
    <t>G10 plate 2</t>
  </si>
  <si>
    <t>H10 plate 2</t>
  </si>
  <si>
    <t>A11 plate 2</t>
  </si>
  <si>
    <t>B11 plate 2</t>
  </si>
  <si>
    <t>C11 plate 2</t>
  </si>
  <si>
    <t>D11 plate 2</t>
  </si>
  <si>
    <t>E11 plate 2</t>
  </si>
  <si>
    <t>F11 plate 2</t>
  </si>
  <si>
    <t>G11 plate 2</t>
  </si>
  <si>
    <t>H11 plate 2</t>
  </si>
  <si>
    <t>A12 plate 2</t>
  </si>
  <si>
    <t>B12 plate 2</t>
  </si>
  <si>
    <t>C12 plate 2</t>
  </si>
  <si>
    <t>D12 plate 2</t>
  </si>
  <si>
    <t>E12 plate 2</t>
  </si>
  <si>
    <t>F12 plate 2</t>
  </si>
  <si>
    <t>G12 plate 2</t>
  </si>
  <si>
    <t>H12 plate 2</t>
  </si>
  <si>
    <t>A2 plate 3</t>
  </si>
  <si>
    <t>B2 plate 3</t>
  </si>
  <si>
    <t>C2 plate 3</t>
  </si>
  <si>
    <t>D2 plate 3</t>
  </si>
  <si>
    <t>E2 plate 3</t>
  </si>
  <si>
    <t>F2 plate 3</t>
  </si>
  <si>
    <t>G2 plate 3</t>
  </si>
  <si>
    <t>H2 plate 3</t>
  </si>
  <si>
    <t>A3 plate 3</t>
  </si>
  <si>
    <t>B3 plate 3</t>
  </si>
  <si>
    <t>C3 plate 3</t>
  </si>
  <si>
    <t>D3 plate 3</t>
  </si>
  <si>
    <t>E3 plate 3</t>
  </si>
  <si>
    <t>F3 plate 3</t>
  </si>
  <si>
    <t>G3 plate 3</t>
  </si>
  <si>
    <t>H3 plate 3</t>
  </si>
  <si>
    <t>A4 plate 3</t>
  </si>
  <si>
    <t>B4 plate 3</t>
  </si>
  <si>
    <t>C4 plate 3</t>
  </si>
  <si>
    <t>D4 plate 3</t>
  </si>
  <si>
    <t>E4 plate 3</t>
  </si>
  <si>
    <t>F4 plate 3</t>
  </si>
  <si>
    <t>G4 plate 3</t>
  </si>
  <si>
    <t>H4 plate 3</t>
  </si>
  <si>
    <t>A6 plate 3</t>
  </si>
  <si>
    <t>B6 plate 3</t>
  </si>
  <si>
    <t>C6 plate 3</t>
  </si>
  <si>
    <t>D6 plate 3</t>
  </si>
  <si>
    <t>E6 plate 3</t>
  </si>
  <si>
    <t>F6 plate 3</t>
  </si>
  <si>
    <t>G6 plate 3</t>
  </si>
  <si>
    <t>H6 plate 3</t>
  </si>
  <si>
    <t>V1.1.20</t>
  </si>
  <si>
    <t>V1.2.20</t>
  </si>
  <si>
    <t>V1.3.20</t>
  </si>
  <si>
    <t>V2.1.20</t>
  </si>
  <si>
    <t>V2.2.20</t>
  </si>
  <si>
    <t>V2.3.20</t>
  </si>
  <si>
    <t>V3.1.20</t>
  </si>
  <si>
    <t>V3.2.20</t>
  </si>
  <si>
    <t>V3.3.20</t>
  </si>
  <si>
    <t>V4.1.20</t>
  </si>
  <si>
    <t>V4.2.20</t>
  </si>
  <si>
    <t>V4.3.20</t>
  </si>
  <si>
    <t>V1.1.21</t>
  </si>
  <si>
    <t>V1.2.21</t>
  </si>
  <si>
    <t>V1.3.21</t>
  </si>
  <si>
    <t>V2.1.21</t>
  </si>
  <si>
    <t>V2.2.21</t>
  </si>
  <si>
    <t>V2.3.21</t>
  </si>
  <si>
    <t>V3.1.21</t>
  </si>
  <si>
    <t>V3.2.21</t>
  </si>
  <si>
    <t>V3.3.21</t>
  </si>
  <si>
    <t>V4.1.21</t>
  </si>
  <si>
    <t>V4.2.21</t>
  </si>
  <si>
    <t>V4.3.21</t>
  </si>
  <si>
    <t>V1.1.22</t>
  </si>
  <si>
    <t>V1.2.22</t>
  </si>
  <si>
    <t>V1.3.22</t>
  </si>
  <si>
    <t>V2.1.22</t>
  </si>
  <si>
    <t>V2.2.22</t>
  </si>
  <si>
    <t>V2.3.22</t>
  </si>
  <si>
    <t>V3.1.22</t>
  </si>
  <si>
    <t>V3.2.22</t>
  </si>
  <si>
    <t>V3.3.22</t>
  </si>
  <si>
    <t>V4.1.22</t>
  </si>
  <si>
    <t>V4.2.22</t>
  </si>
  <si>
    <t>V4.3.22</t>
  </si>
  <si>
    <t>V1.1.23</t>
  </si>
  <si>
    <t>V1.2.23</t>
  </si>
  <si>
    <t>V1.3.23</t>
  </si>
  <si>
    <t>V2.1.23</t>
  </si>
  <si>
    <t>V2.2.23</t>
  </si>
  <si>
    <t>V2.3.23</t>
  </si>
  <si>
    <t>V3.1.23</t>
  </si>
  <si>
    <t>V3.2.23</t>
  </si>
  <si>
    <t>V3.3.23</t>
  </si>
  <si>
    <t>V4.1.23</t>
  </si>
  <si>
    <t>V4.2.23</t>
  </si>
  <si>
    <t>V4.3.23</t>
  </si>
  <si>
    <t>V1.1.24</t>
  </si>
  <si>
    <t>V1.2.24</t>
  </si>
  <si>
    <t>V1.3.24</t>
  </si>
  <si>
    <t>V2.1.24</t>
  </si>
  <si>
    <t>V2.2.24</t>
  </si>
  <si>
    <t>V2.3.24</t>
  </si>
  <si>
    <t>V3.1.24</t>
  </si>
  <si>
    <t>V3.2.24</t>
  </si>
  <si>
    <t>V3.3.24</t>
  </si>
  <si>
    <t>V4.1.24</t>
  </si>
  <si>
    <t>V4.2.24</t>
  </si>
  <si>
    <t>V4.3.24</t>
  </si>
  <si>
    <t>V1.1.25</t>
  </si>
  <si>
    <t>V1.2.25</t>
  </si>
  <si>
    <t>V1.3.25</t>
  </si>
  <si>
    <t>V2.1.25</t>
  </si>
  <si>
    <t>V2.2.25</t>
  </si>
  <si>
    <t>V2.3.25</t>
  </si>
  <si>
    <t>V3.1.25</t>
  </si>
  <si>
    <t>V3.2.25</t>
  </si>
  <si>
    <t>V3.3.25</t>
  </si>
  <si>
    <t>V4.1.25</t>
  </si>
  <si>
    <t>V4.2.25</t>
  </si>
  <si>
    <t>V4.3.25</t>
  </si>
  <si>
    <t>V1.1.26</t>
  </si>
  <si>
    <t>V1.2.26</t>
  </si>
  <si>
    <t>V1.3.26</t>
  </si>
  <si>
    <t>V2.1.26</t>
  </si>
  <si>
    <t>V2.2.26</t>
  </si>
  <si>
    <t>V2.3.26</t>
  </si>
  <si>
    <t>V3.1.26</t>
  </si>
  <si>
    <t>V3.2.26</t>
  </si>
  <si>
    <t>V3.3.26</t>
  </si>
  <si>
    <t>V4.1.26</t>
  </si>
  <si>
    <t>V4.2.26</t>
  </si>
  <si>
    <t>V4.3.26</t>
  </si>
  <si>
    <t>V1.1.27</t>
  </si>
  <si>
    <t>V1.2.27</t>
  </si>
  <si>
    <t>V1.3.27</t>
  </si>
  <si>
    <t>V2.1.27</t>
  </si>
  <si>
    <t>V2.2.27</t>
  </si>
  <si>
    <t>V2.3.27</t>
  </si>
  <si>
    <t>V3.1.27</t>
  </si>
  <si>
    <t>V3.2.27</t>
  </si>
  <si>
    <t>V3.3.27</t>
  </si>
  <si>
    <t>V4.1.27</t>
  </si>
  <si>
    <t>V4.2.27</t>
  </si>
  <si>
    <t>V4.3.27</t>
  </si>
  <si>
    <t>V1.1.28</t>
  </si>
  <si>
    <t>V1.2.28</t>
  </si>
  <si>
    <t>V1.3.28</t>
  </si>
  <si>
    <t>V2.1.28</t>
  </si>
  <si>
    <t>V2.2.28</t>
  </si>
  <si>
    <t>V2.3.28</t>
  </si>
  <si>
    <t>V3.1.28</t>
  </si>
  <si>
    <t>V3.2.28</t>
  </si>
  <si>
    <t>V3.3.28</t>
  </si>
  <si>
    <t>V4.1.28</t>
  </si>
  <si>
    <t>V4.2.28</t>
  </si>
  <si>
    <t>V4.3.28</t>
  </si>
  <si>
    <t>V1.1.29</t>
  </si>
  <si>
    <t>V1.2.29</t>
  </si>
  <si>
    <t>V1.3.29</t>
  </si>
  <si>
    <t>V2.1.29</t>
  </si>
  <si>
    <t>V2.2.29</t>
  </si>
  <si>
    <t>V2.3.29</t>
  </si>
  <si>
    <t>V3.1.29</t>
  </si>
  <si>
    <t>V3.2.29</t>
  </si>
  <si>
    <t>V3.3.29</t>
  </si>
  <si>
    <t>V4.1.29</t>
  </si>
  <si>
    <t>V4.2.29</t>
  </si>
  <si>
    <t>V4.3.29</t>
  </si>
  <si>
    <t>V1.1.30</t>
  </si>
  <si>
    <t>V1.2.30</t>
  </si>
  <si>
    <t>V1.3.30</t>
  </si>
  <si>
    <t>V2.1.30</t>
  </si>
  <si>
    <t>V2.2.30</t>
  </si>
  <si>
    <t>V2.3.30</t>
  </si>
  <si>
    <t>V3.1.30</t>
  </si>
  <si>
    <t>V3.2.30</t>
  </si>
  <si>
    <t>V3.3.30</t>
  </si>
  <si>
    <t>V4.1.30</t>
  </si>
  <si>
    <t>V4.2.30</t>
  </si>
  <si>
    <t>V4.3.30</t>
  </si>
  <si>
    <t>V1.1.31</t>
  </si>
  <si>
    <t>V1.2.31</t>
  </si>
  <si>
    <t>V1.3.31</t>
  </si>
  <si>
    <t>V2.1.31</t>
  </si>
  <si>
    <t>V2.2.31</t>
  </si>
  <si>
    <t>V2.3.31</t>
  </si>
  <si>
    <t>V3.1.31</t>
  </si>
  <si>
    <t>V3.2.31</t>
  </si>
  <si>
    <t>V3.3.31</t>
  </si>
  <si>
    <t>V4.1.31</t>
  </si>
  <si>
    <t>V4.2.31</t>
  </si>
  <si>
    <t>V4.3.31</t>
  </si>
  <si>
    <t>V1.1.32</t>
  </si>
  <si>
    <t>V1.2.32</t>
  </si>
  <si>
    <t>V1.3.32</t>
  </si>
  <si>
    <t>V2.1.32</t>
  </si>
  <si>
    <t>V2.2.32</t>
  </si>
  <si>
    <t>V2.3.32</t>
  </si>
  <si>
    <t>V3.1.32</t>
  </si>
  <si>
    <t>V3.2.32</t>
  </si>
  <si>
    <t>V3.3.32</t>
  </si>
  <si>
    <t>V4.1.32</t>
  </si>
  <si>
    <t>V4.2.32</t>
  </si>
  <si>
    <t>V4.3.32</t>
  </si>
  <si>
    <t>V1.1.33</t>
  </si>
  <si>
    <t>V1.2.33</t>
  </si>
  <si>
    <t>V1.3.33</t>
  </si>
  <si>
    <t>V2.1.33</t>
  </si>
  <si>
    <t>V2.2.33</t>
  </si>
  <si>
    <t>V2.3.33</t>
  </si>
  <si>
    <t>V3.1.33</t>
  </si>
  <si>
    <t>V3.2.33</t>
  </si>
  <si>
    <t>V3.3.33</t>
  </si>
  <si>
    <t>V4.1.33</t>
  </si>
  <si>
    <t>V4.2.33</t>
  </si>
  <si>
    <t>V4.3.33</t>
  </si>
  <si>
    <t>V1.1.34</t>
  </si>
  <si>
    <t>V1.2.34</t>
  </si>
  <si>
    <t>V1.3.34</t>
  </si>
  <si>
    <t>V2.1.34</t>
  </si>
  <si>
    <t>V2.2.34</t>
  </si>
  <si>
    <t>V2.3.34</t>
  </si>
  <si>
    <t>V3.1.34</t>
  </si>
  <si>
    <t>V3.2.34</t>
  </si>
  <si>
    <t>V3.3.34</t>
  </si>
  <si>
    <t>V4.1.34</t>
  </si>
  <si>
    <t>V4.2.34</t>
  </si>
  <si>
    <t>V4.3.34</t>
  </si>
  <si>
    <t>V1.1.35</t>
  </si>
  <si>
    <t>V1.2.35</t>
  </si>
  <si>
    <t>V1.3.35</t>
  </si>
  <si>
    <t>V2.1.35</t>
  </si>
  <si>
    <t>V2.2.35</t>
  </si>
  <si>
    <t>V2.3.35</t>
  </si>
  <si>
    <t>V3.1.35</t>
  </si>
  <si>
    <t>V3.2.35</t>
  </si>
  <si>
    <t>V3.3.35</t>
  </si>
  <si>
    <t>V4.1.35</t>
  </si>
  <si>
    <t>V4.2.35</t>
  </si>
  <si>
    <t>V4.3.35</t>
  </si>
  <si>
    <t>T.Day47 V3 Rep1</t>
  </si>
  <si>
    <t>T.Day47 V1 Rep1</t>
  </si>
  <si>
    <t>T.Day51 V3 Rep1</t>
  </si>
  <si>
    <t>T.Day60 V1 Rep1</t>
  </si>
  <si>
    <t>T.Day49 V3 Rep1</t>
  </si>
  <si>
    <t>T.Day51 V2 Rep1</t>
  </si>
  <si>
    <t>T.Day60 V2 Rep1</t>
  </si>
  <si>
    <t>T.Day56 V4 Rep1</t>
  </si>
  <si>
    <t>T.Day51 V1 Rep1</t>
  </si>
  <si>
    <t>T.Day53 V4 Rep1</t>
  </si>
  <si>
    <t>T.Day49 V1 Rep1</t>
  </si>
  <si>
    <t>T.Day54 V4 Rep1</t>
  </si>
  <si>
    <t>T.Day41 V3 Rep1</t>
  </si>
  <si>
    <t>T.Day49 V2 Rep1</t>
  </si>
  <si>
    <t>T.Day54 V2 Rep1</t>
  </si>
  <si>
    <t>T.Day38 V1 Rep1</t>
  </si>
  <si>
    <t>T.Day54 V3 Rep1</t>
  </si>
  <si>
    <t>T.Day60 V4 Rep1</t>
  </si>
  <si>
    <t>T.Day48 V4 Rep1</t>
  </si>
  <si>
    <t>T.Day41 V1 Rep1</t>
  </si>
  <si>
    <t>T.Day48 V1 Rep1</t>
  </si>
  <si>
    <t>T.Day46 V1 Rep1</t>
  </si>
  <si>
    <t>T.Day46 V4 Rep1</t>
  </si>
  <si>
    <t>T.Day38 V2 Rep1</t>
  </si>
  <si>
    <t>T.Day42 V1 Rep1</t>
  </si>
  <si>
    <t>T.Day51 V4 Rep1</t>
  </si>
  <si>
    <t>T.Day38 V3 Rep1</t>
  </si>
  <si>
    <t>T.Day38 V4 Rep1</t>
  </si>
  <si>
    <t>T.Day53 V1 Rep1</t>
  </si>
  <si>
    <t>T.Day56 V2 Rep1</t>
  </si>
  <si>
    <t>T.Day53 V2 Rep1</t>
  </si>
  <si>
    <t>T.Day56 V3 Rep1</t>
  </si>
  <si>
    <t>T.Day48 V3 Rep1</t>
  </si>
  <si>
    <t>T.Day49 V4 Rep1</t>
  </si>
  <si>
    <t>T.Day42 V4 Rep1</t>
  </si>
  <si>
    <t>T.Day42 V2 Rep1</t>
  </si>
  <si>
    <t>T.Day42 V3 Rep1</t>
  </si>
  <si>
    <t>T.Day47 V2 Rep1</t>
  </si>
  <si>
    <t>T.Day41 V2 Rep1</t>
  </si>
  <si>
    <t>T.Day41 V4 Rep1</t>
  </si>
  <si>
    <t>T.Day54 V1 Rep1</t>
  </si>
  <si>
    <t>T.Day48 V2 Rep1</t>
  </si>
  <si>
    <t>T.Day53 V3 Rep1</t>
  </si>
  <si>
    <t>T.Day46 V3 Rep1</t>
  </si>
  <si>
    <t>T.Day46 V2 Rep1</t>
  </si>
  <si>
    <t>T.Day47 V4 Rep1</t>
  </si>
  <si>
    <t>T.Day60 V3 Rep1</t>
  </si>
  <si>
    <t>T.Day56 V1 Rep1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</si>
</sst>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4" x14ac:knownFonts="1">
    <font>
      <sz val="12"/>
      <color theme="1"/>
      <name val="Calibri"/>
      <family val="2"/>
      <scheme val="minor"/>
    </font>
    <font>
      <sz val="11"/>
      <color theme="1"/>
      <name val="Calibri"/>
      <family val="2"/>
      <scheme val="minor"/>
    </font>
    <font>
      <sz val="12"/>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2"/>
      <color theme="1"/>
      <name val="Calibri"/>
      <family val="2"/>
      <scheme val="minor"/>
    </font>
    <font>
      <sz val="12"/>
      <color rgb="FF000000"/>
      <name val="Calibri"/>
      <family val="2"/>
      <scheme val="minor"/>
    </font>
    <font>
      <sz val="12"/>
      <color theme="0"/>
      <name val="Calibri"/>
      <family val="2"/>
      <scheme val="minor"/>
    </font>
    <font>
      <b/>
      <sz val="12"/>
      <color rgb="FFFF0000"/>
      <name val="Calibri"/>
      <family val="2"/>
      <scheme val="minor"/>
    </font>
    <font>
      <sz val="9"/>
      <color indexed="81"/>
      <name val="Calibri"/>
      <family val="2"/>
    </font>
    <font>
      <b/>
      <sz val="9"/>
      <color indexed="81"/>
      <name val="Calibri"/>
      <family val="2"/>
    </font>
    <font>
      <b/>
      <i/>
      <sz val="12"/>
      <color theme="1"/>
      <name val="Calibri"/>
      <family val="2"/>
      <scheme val="minor"/>
    </font>
    <font>
      <b/>
      <i/>
      <sz val="12"/>
      <color theme="0"/>
      <name val="Calibri"/>
      <family val="2"/>
      <scheme val="minor"/>
    </font>
    <font>
      <b/>
      <sz val="16"/>
      <color theme="1"/>
      <name val="Calibri"/>
      <family val="2"/>
      <scheme val="minor"/>
    </font>
    <font>
      <sz val="12"/>
      <color rgb="FF000000"/>
      <name val="Lucida Grande"/>
    </font>
    <font>
      <b/>
      <sz val="10"/>
      <name val="Arial"/>
      <family val="2"/>
    </font>
    <font>
      <sz val="12"/>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46">
    <fill>
      <patternFill patternType="none"/>
    </fill>
    <fill>
      <patternFill patternType="gray125"/>
    </fill>
    <fill>
      <patternFill patternType="solid">
        <fgColor theme="1" tint="0.499984740745262"/>
        <bgColor indexed="64"/>
      </patternFill>
    </fill>
    <fill>
      <patternFill patternType="solid">
        <fgColor rgb="FFFF0000"/>
        <bgColor indexed="64"/>
      </patternFill>
    </fill>
    <fill>
      <patternFill patternType="solid">
        <fgColor rgb="FFFF6600"/>
        <bgColor indexed="64"/>
      </patternFill>
    </fill>
    <fill>
      <patternFill patternType="solid">
        <fgColor rgb="FFFFFF00"/>
        <bgColor indexed="64"/>
      </patternFill>
    </fill>
    <fill>
      <patternFill patternType="solid">
        <fgColor rgb="FF008000"/>
        <bgColor indexed="64"/>
      </patternFill>
    </fill>
    <fill>
      <patternFill patternType="solid">
        <fgColor rgb="FFD9D9D9"/>
        <bgColor rgb="FFD9D9D9"/>
      </patternFill>
    </fill>
    <fill>
      <patternFill patternType="solid">
        <fgColor theme="8"/>
        <bgColor indexed="64"/>
      </patternFill>
    </fill>
    <fill>
      <patternFill patternType="solid">
        <fgColor rgb="FF0000FF"/>
        <bgColor indexed="64"/>
      </patternFill>
    </fill>
    <fill>
      <patternFill patternType="solid">
        <fgColor theme="7"/>
        <bgColor indexed="64"/>
      </patternFill>
    </fill>
    <fill>
      <patternFill patternType="solid">
        <fgColor rgb="FF660066"/>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right style="mediumDashed">
        <color theme="5" tint="0.39997558519241921"/>
      </right>
      <top/>
      <bottom style="thin">
        <color auto="1"/>
      </bottom>
      <diagonal/>
    </border>
    <border>
      <left/>
      <right style="mediumDashed">
        <color theme="5" tint="0.39997558519241921"/>
      </right>
      <top/>
      <bottom/>
      <diagonal/>
    </border>
    <border>
      <left/>
      <right style="mediumDashed">
        <color theme="5" tint="0.39997558519241921"/>
      </right>
      <top style="thin">
        <color auto="1"/>
      </top>
      <bottom/>
      <diagonal/>
    </border>
    <border>
      <left style="mediumDashed">
        <color theme="5" tint="0.39997558519241921"/>
      </left>
      <right/>
      <top/>
      <bottom/>
      <diagonal/>
    </border>
    <border>
      <left/>
      <right style="mediumDashed">
        <color theme="9" tint="0.39997558519241921"/>
      </right>
      <top/>
      <bottom/>
      <diagonal/>
    </border>
    <border>
      <left style="mediumDashed">
        <color theme="5" tint="0.39997558519241921"/>
      </left>
      <right/>
      <top style="thin">
        <color auto="1"/>
      </top>
      <bottom/>
      <diagonal/>
    </border>
    <border>
      <left/>
      <right style="mediumDashed">
        <color theme="9" tint="0.39997558519241921"/>
      </right>
      <top style="thin">
        <color auto="1"/>
      </top>
      <bottom/>
      <diagonal/>
    </border>
    <border>
      <left style="mediumDashed">
        <color theme="5" tint="0.39997558519241921"/>
      </left>
      <right/>
      <top/>
      <bottom style="thin">
        <color auto="1"/>
      </bottom>
      <diagonal/>
    </border>
    <border>
      <left/>
      <right style="mediumDashed">
        <color theme="9" tint="0.39997558519241921"/>
      </right>
      <top/>
      <bottom style="thin">
        <color auto="1"/>
      </bottom>
      <diagonal/>
    </border>
    <border>
      <left style="mediumDashed">
        <color theme="9" tint="0.39997558519241921"/>
      </left>
      <right/>
      <top/>
      <bottom/>
      <diagonal/>
    </border>
    <border>
      <left/>
      <right style="mediumDashed">
        <color theme="6" tint="0.39997558519241921"/>
      </right>
      <top/>
      <bottom/>
      <diagonal/>
    </border>
    <border>
      <left style="mediumDashed">
        <color theme="9" tint="0.39997558519241921"/>
      </left>
      <right/>
      <top style="thin">
        <color auto="1"/>
      </top>
      <bottom/>
      <diagonal/>
    </border>
    <border>
      <left/>
      <right style="mediumDashed">
        <color theme="6" tint="0.39997558519241921"/>
      </right>
      <top style="thin">
        <color auto="1"/>
      </top>
      <bottom/>
      <diagonal/>
    </border>
    <border>
      <left style="mediumDashed">
        <color theme="9" tint="0.39997558519241921"/>
      </left>
      <right/>
      <top/>
      <bottom style="thin">
        <color auto="1"/>
      </bottom>
      <diagonal/>
    </border>
    <border>
      <left/>
      <right style="mediumDashed">
        <color theme="6" tint="0.39997558519241921"/>
      </right>
      <top/>
      <bottom style="thin">
        <color auto="1"/>
      </bottom>
      <diagonal/>
    </border>
    <border>
      <left style="mediumDashed">
        <color theme="6" tint="0.39997558519241921"/>
      </left>
      <right/>
      <top style="thin">
        <color auto="1"/>
      </top>
      <bottom/>
      <diagonal/>
    </border>
    <border>
      <left style="mediumDashed">
        <color theme="6" tint="0.39997558519241921"/>
      </left>
      <right/>
      <top/>
      <bottom/>
      <diagonal/>
    </border>
    <border>
      <left style="mediumDashed">
        <color theme="6" tint="0.39997558519241921"/>
      </left>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9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9" fontId="2" fillId="0" borderId="0" applyFon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8" fillId="0" borderId="0" applyNumberFormat="0" applyFill="0" applyBorder="0" applyAlignment="0" applyProtection="0"/>
    <xf numFmtId="0" fontId="19" fillId="0" borderId="37" applyNumberFormat="0" applyFill="0" applyAlignment="0" applyProtection="0"/>
    <xf numFmtId="0" fontId="20" fillId="0" borderId="38" applyNumberFormat="0" applyFill="0" applyAlignment="0" applyProtection="0"/>
    <xf numFmtId="0" fontId="21" fillId="0" borderId="39" applyNumberFormat="0" applyFill="0" applyAlignment="0" applyProtection="0"/>
    <xf numFmtId="0" fontId="21" fillId="0" borderId="0" applyNumberFormat="0" applyFill="0" applyBorder="0" applyAlignment="0" applyProtection="0"/>
    <xf numFmtId="0" fontId="22" fillId="15" borderId="0" applyNumberFormat="0" applyBorder="0" applyAlignment="0" applyProtection="0"/>
    <xf numFmtId="0" fontId="23" fillId="16" borderId="0" applyNumberFormat="0" applyBorder="0" applyAlignment="0" applyProtection="0"/>
    <xf numFmtId="0" fontId="24" fillId="17" borderId="0" applyNumberFormat="0" applyBorder="0" applyAlignment="0" applyProtection="0"/>
    <xf numFmtId="0" fontId="25" fillId="18" borderId="40" applyNumberFormat="0" applyAlignment="0" applyProtection="0"/>
    <xf numFmtId="0" fontId="26" fillId="19" borderId="41" applyNumberFormat="0" applyAlignment="0" applyProtection="0"/>
    <xf numFmtId="0" fontId="27" fillId="19" borderId="40" applyNumberFormat="0" applyAlignment="0" applyProtection="0"/>
    <xf numFmtId="0" fontId="28" fillId="0" borderId="42" applyNumberFormat="0" applyFill="0" applyAlignment="0" applyProtection="0"/>
    <xf numFmtId="0" fontId="29" fillId="20" borderId="43"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45" applyNumberFormat="0" applyFill="0" applyAlignment="0" applyProtection="0"/>
    <xf numFmtId="0" fontId="33"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33" fillId="25" borderId="0" applyNumberFormat="0" applyBorder="0" applyAlignment="0" applyProtection="0"/>
    <xf numFmtId="0" fontId="33"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33" fillId="29" borderId="0" applyNumberFormat="0" applyBorder="0" applyAlignment="0" applyProtection="0"/>
    <xf numFmtId="0" fontId="33"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33" fillId="33" borderId="0" applyNumberFormat="0" applyBorder="0" applyAlignment="0" applyProtection="0"/>
    <xf numFmtId="0" fontId="33"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33" fillId="41" borderId="0" applyNumberFormat="0" applyBorder="0" applyAlignment="0" applyProtection="0"/>
    <xf numFmtId="0" fontId="33"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33" fillId="45" borderId="0" applyNumberFormat="0" applyBorder="0" applyAlignment="0" applyProtection="0"/>
    <xf numFmtId="0" fontId="1" fillId="0" borderId="0"/>
    <xf numFmtId="0" fontId="1" fillId="21" borderId="44" applyNumberFormat="0" applyFont="0" applyAlignment="0" applyProtection="0"/>
  </cellStyleXfs>
  <cellXfs count="110">
    <xf numFmtId="0" fontId="0" fillId="0" borderId="0" xfId="0"/>
    <xf numFmtId="0" fontId="0" fillId="0" borderId="1" xfId="0" applyBorder="1"/>
    <xf numFmtId="0" fontId="0" fillId="0" borderId="0" xfId="0" applyBorder="1"/>
    <xf numFmtId="2" fontId="0" fillId="0" borderId="0" xfId="0" applyNumberFormat="1"/>
    <xf numFmtId="0" fontId="0" fillId="0" borderId="1" xfId="0" applyBorder="1" applyAlignment="1">
      <alignment wrapText="1"/>
    </xf>
    <xf numFmtId="2" fontId="0" fillId="0" borderId="1" xfId="0" applyNumberFormat="1" applyBorder="1"/>
    <xf numFmtId="9" fontId="0" fillId="0" borderId="0" xfId="167" applyFont="1"/>
    <xf numFmtId="0" fontId="0" fillId="0" borderId="0" xfId="0" applyAlignment="1">
      <alignment horizontal="left" vertical="top" wrapText="1"/>
    </xf>
    <xf numFmtId="0" fontId="0" fillId="0" borderId="0" xfId="0" applyAlignment="1">
      <alignment horizontal="center"/>
    </xf>
    <xf numFmtId="0" fontId="7" fillId="0" borderId="1" xfId="0" applyFont="1" applyFill="1" applyBorder="1"/>
    <xf numFmtId="0" fontId="0" fillId="0" borderId="1" xfId="0" applyFill="1" applyBorder="1"/>
    <xf numFmtId="2" fontId="0" fillId="0" borderId="1" xfId="0" applyNumberFormat="1" applyFill="1" applyBorder="1"/>
    <xf numFmtId="0" fontId="0" fillId="0" borderId="1" xfId="0" applyFill="1" applyBorder="1" applyAlignment="1">
      <alignment horizontal="center" vertical="center"/>
    </xf>
    <xf numFmtId="2" fontId="0" fillId="0" borderId="3" xfId="0" applyNumberFormat="1" applyFill="1" applyBorder="1"/>
    <xf numFmtId="0" fontId="0" fillId="0" borderId="2" xfId="0" applyFill="1" applyBorder="1" applyAlignment="1">
      <alignment horizontal="left" vertical="top" wrapText="1"/>
    </xf>
    <xf numFmtId="2" fontId="0" fillId="0" borderId="2" xfId="0" applyNumberFormat="1" applyFill="1" applyBorder="1" applyAlignment="1">
      <alignment horizontal="left" vertical="top" wrapText="1"/>
    </xf>
    <xf numFmtId="2" fontId="0" fillId="0" borderId="4" xfId="0" applyNumberFormat="1" applyFill="1" applyBorder="1" applyAlignment="1">
      <alignment horizontal="left" vertical="top" wrapText="1"/>
    </xf>
    <xf numFmtId="2" fontId="0" fillId="0" borderId="0" xfId="0" applyNumberFormat="1" applyBorder="1"/>
    <xf numFmtId="49" fontId="0" fillId="0" borderId="0" xfId="0" applyNumberFormat="1"/>
    <xf numFmtId="164" fontId="0" fillId="0" borderId="1" xfId="0" applyNumberFormat="1" applyBorder="1" applyAlignment="1">
      <alignment vertical="top"/>
    </xf>
    <xf numFmtId="0" fontId="16" fillId="0" borderId="0" xfId="0" applyFont="1" applyAlignment="1">
      <alignment horizontal="center"/>
    </xf>
    <xf numFmtId="0" fontId="0" fillId="0" borderId="0" xfId="0" applyAlignment="1"/>
    <xf numFmtId="0" fontId="7" fillId="7" borderId="12" xfId="0" applyFont="1" applyFill="1" applyBorder="1"/>
    <xf numFmtId="0" fontId="7" fillId="7" borderId="12" xfId="0" applyFont="1" applyFill="1" applyBorder="1" applyAlignment="1">
      <alignment horizontal="center"/>
    </xf>
    <xf numFmtId="0" fontId="7" fillId="0" borderId="12" xfId="0" applyFont="1" applyBorder="1"/>
    <xf numFmtId="0" fontId="7" fillId="0" borderId="12" xfId="0" applyFont="1" applyBorder="1" applyAlignment="1">
      <alignment horizontal="center"/>
    </xf>
    <xf numFmtId="0" fontId="7" fillId="0" borderId="13" xfId="0" applyFont="1" applyBorder="1"/>
    <xf numFmtId="0" fontId="7" fillId="0" borderId="13" xfId="0" applyFont="1" applyBorder="1" applyAlignment="1">
      <alignment horizontal="center"/>
    </xf>
    <xf numFmtId="0" fontId="0" fillId="0" borderId="14" xfId="0" applyBorder="1"/>
    <xf numFmtId="0" fontId="0" fillId="0" borderId="15" xfId="0" applyBorder="1"/>
    <xf numFmtId="0" fontId="0" fillId="0" borderId="14" xfId="0" applyBorder="1" applyAlignment="1">
      <alignment horizontal="center" wrapText="1"/>
    </xf>
    <xf numFmtId="2" fontId="0" fillId="0" borderId="14" xfId="0" applyNumberFormat="1" applyBorder="1" applyAlignment="1">
      <alignment horizontal="center" wrapText="1"/>
    </xf>
    <xf numFmtId="2" fontId="0" fillId="0" borderId="15" xfId="0" applyNumberFormat="1" applyBorder="1"/>
    <xf numFmtId="2" fontId="0" fillId="0" borderId="16" xfId="0" applyNumberFormat="1" applyBorder="1" applyAlignment="1">
      <alignment wrapText="1"/>
    </xf>
    <xf numFmtId="2" fontId="0" fillId="0" borderId="17" xfId="0" applyNumberFormat="1" applyBorder="1"/>
    <xf numFmtId="2" fontId="0" fillId="0" borderId="16" xfId="0" applyNumberFormat="1" applyBorder="1"/>
    <xf numFmtId="2" fontId="0" fillId="0" borderId="18" xfId="0" applyNumberFormat="1" applyBorder="1" applyAlignment="1">
      <alignment horizontal="right"/>
    </xf>
    <xf numFmtId="2" fontId="0" fillId="0" borderId="17" xfId="0" applyNumberFormat="1" applyBorder="1" applyAlignment="1">
      <alignment horizontal="left"/>
    </xf>
    <xf numFmtId="0" fontId="0" fillId="0" borderId="6" xfId="0" applyFont="1" applyBorder="1" applyAlignment="1">
      <alignment horizontal="right"/>
    </xf>
    <xf numFmtId="0" fontId="0" fillId="0" borderId="0" xfId="0" applyFont="1" applyBorder="1" applyAlignment="1">
      <alignment horizontal="right"/>
    </xf>
    <xf numFmtId="0" fontId="0" fillId="0" borderId="10" xfId="0" applyFont="1" applyBorder="1" applyAlignment="1">
      <alignment horizontal="right"/>
    </xf>
    <xf numFmtId="0" fontId="17" fillId="0" borderId="0" xfId="0" applyFont="1" applyBorder="1" applyAlignment="1">
      <alignment horizontal="center"/>
    </xf>
    <xf numFmtId="0" fontId="17" fillId="0" borderId="20" xfId="0" applyFont="1" applyBorder="1" applyAlignment="1">
      <alignment horizontal="center"/>
    </xf>
    <xf numFmtId="0" fontId="0" fillId="0" borderId="21" xfId="0" applyFont="1" applyBorder="1" applyAlignment="1">
      <alignment horizontal="right"/>
    </xf>
    <xf numFmtId="0" fontId="0" fillId="0" borderId="20" xfId="0" applyFont="1" applyBorder="1" applyAlignment="1">
      <alignment horizontal="right"/>
    </xf>
    <xf numFmtId="0" fontId="0" fillId="0" borderId="19" xfId="0" applyFont="1" applyBorder="1" applyAlignment="1">
      <alignment horizontal="right"/>
    </xf>
    <xf numFmtId="0" fontId="17" fillId="0" borderId="22" xfId="0" applyFont="1" applyBorder="1" applyAlignment="1">
      <alignment horizontal="center"/>
    </xf>
    <xf numFmtId="0" fontId="17" fillId="0" borderId="23" xfId="0" applyFont="1" applyBorder="1" applyAlignment="1">
      <alignment horizontal="center"/>
    </xf>
    <xf numFmtId="0" fontId="0" fillId="0" borderId="24" xfId="0" applyFont="1" applyBorder="1" applyAlignment="1">
      <alignment horizontal="right"/>
    </xf>
    <xf numFmtId="0" fontId="0" fillId="0" borderId="25" xfId="0" applyFont="1" applyBorder="1" applyAlignment="1">
      <alignment horizontal="right"/>
    </xf>
    <xf numFmtId="0" fontId="0" fillId="0" borderId="22" xfId="0" applyFont="1" applyBorder="1" applyAlignment="1">
      <alignment horizontal="right"/>
    </xf>
    <xf numFmtId="0" fontId="0" fillId="0" borderId="23" xfId="0" applyFont="1" applyBorder="1" applyAlignment="1">
      <alignment horizontal="right"/>
    </xf>
    <xf numFmtId="0" fontId="0" fillId="0" borderId="26" xfId="0" applyFont="1" applyBorder="1" applyAlignment="1">
      <alignment horizontal="right"/>
    </xf>
    <xf numFmtId="0" fontId="0" fillId="0" borderId="27" xfId="0" applyFont="1" applyBorder="1" applyAlignment="1">
      <alignment horizontal="right"/>
    </xf>
    <xf numFmtId="0" fontId="17" fillId="0" borderId="28" xfId="0" applyFont="1" applyBorder="1" applyAlignment="1">
      <alignment horizontal="center"/>
    </xf>
    <xf numFmtId="0" fontId="17" fillId="0" borderId="29" xfId="0" applyFont="1" applyBorder="1" applyAlignment="1">
      <alignment horizontal="center"/>
    </xf>
    <xf numFmtId="0" fontId="0" fillId="0" borderId="30" xfId="0" applyFont="1" applyBorder="1" applyAlignment="1">
      <alignment horizontal="right"/>
    </xf>
    <xf numFmtId="0" fontId="0" fillId="0" borderId="31" xfId="0" applyFont="1" applyBorder="1" applyAlignment="1">
      <alignment horizontal="right"/>
    </xf>
    <xf numFmtId="0" fontId="0" fillId="0" borderId="28" xfId="0" applyFont="1" applyBorder="1" applyAlignment="1">
      <alignment horizontal="right"/>
    </xf>
    <xf numFmtId="0" fontId="0" fillId="0" borderId="29" xfId="0" applyFont="1" applyBorder="1" applyAlignment="1">
      <alignment horizontal="right"/>
    </xf>
    <xf numFmtId="0" fontId="0" fillId="0" borderId="32" xfId="0" applyFont="1" applyBorder="1" applyAlignment="1">
      <alignment horizontal="right"/>
    </xf>
    <xf numFmtId="0" fontId="0" fillId="0" borderId="33" xfId="0" applyFont="1" applyBorder="1" applyAlignment="1">
      <alignment horizontal="right"/>
    </xf>
    <xf numFmtId="0" fontId="0" fillId="0" borderId="0" xfId="0" applyAlignment="1">
      <alignment horizontal="center"/>
    </xf>
    <xf numFmtId="0" fontId="0" fillId="0" borderId="0" xfId="0" applyNumberFormat="1"/>
    <xf numFmtId="0" fontId="1" fillId="0" borderId="0" xfId="288"/>
    <xf numFmtId="0" fontId="0" fillId="0" borderId="0" xfId="0" applyAlignment="1">
      <alignment horizontal="center"/>
    </xf>
    <xf numFmtId="0" fontId="0" fillId="3" borderId="7" xfId="0" applyFill="1" applyBorder="1" applyAlignment="1">
      <alignment horizontal="center" textRotation="255"/>
    </xf>
    <xf numFmtId="0" fontId="0" fillId="3" borderId="8" xfId="0" applyFill="1" applyBorder="1" applyAlignment="1">
      <alignment horizontal="center" textRotation="255"/>
    </xf>
    <xf numFmtId="0" fontId="0" fillId="3" borderId="11" xfId="0" applyFill="1" applyBorder="1" applyAlignment="1">
      <alignment horizontal="center" textRotation="255"/>
    </xf>
    <xf numFmtId="0" fontId="0" fillId="4" borderId="7" xfId="0" applyFill="1" applyBorder="1" applyAlignment="1">
      <alignment horizontal="center" textRotation="255"/>
    </xf>
    <xf numFmtId="0" fontId="0" fillId="4" borderId="8" xfId="0" applyFill="1" applyBorder="1" applyAlignment="1">
      <alignment horizontal="center" textRotation="255"/>
    </xf>
    <xf numFmtId="0" fontId="0" fillId="4" borderId="11" xfId="0" applyFill="1" applyBorder="1" applyAlignment="1">
      <alignment horizontal="center" textRotation="255"/>
    </xf>
    <xf numFmtId="0" fontId="8" fillId="6" borderId="7" xfId="0" applyFont="1" applyFill="1" applyBorder="1" applyAlignment="1">
      <alignment horizontal="center" textRotation="255"/>
    </xf>
    <xf numFmtId="0" fontId="8" fillId="6" borderId="8" xfId="0" applyFont="1" applyFill="1" applyBorder="1" applyAlignment="1">
      <alignment horizontal="center" textRotation="255"/>
    </xf>
    <xf numFmtId="0" fontId="8" fillId="6" borderId="11" xfId="0" applyFont="1" applyFill="1" applyBorder="1" applyAlignment="1">
      <alignment horizontal="center" textRotation="255"/>
    </xf>
    <xf numFmtId="0" fontId="0" fillId="5" borderId="7" xfId="0" applyFill="1" applyBorder="1" applyAlignment="1">
      <alignment horizontal="center" textRotation="255"/>
    </xf>
    <xf numFmtId="0" fontId="0" fillId="5" borderId="8" xfId="0" applyFill="1" applyBorder="1" applyAlignment="1">
      <alignment horizontal="center" textRotation="255"/>
    </xf>
    <xf numFmtId="0" fontId="0" fillId="5" borderId="11" xfId="0" applyFill="1" applyBorder="1" applyAlignment="1">
      <alignment horizontal="center" textRotation="255"/>
    </xf>
    <xf numFmtId="0" fontId="0" fillId="0" borderId="34" xfId="0" applyBorder="1" applyAlignment="1">
      <alignment horizontal="center" vertical="center" textRotation="90" wrapText="1"/>
    </xf>
    <xf numFmtId="0" fontId="0" fillId="0" borderId="35" xfId="0" applyBorder="1" applyAlignment="1">
      <alignment horizontal="center" vertical="center" textRotation="90" wrapText="1"/>
    </xf>
    <xf numFmtId="0" fontId="0" fillId="0" borderId="36" xfId="0" applyBorder="1" applyAlignment="1">
      <alignment horizontal="center" vertical="center" textRotation="90" wrapText="1"/>
    </xf>
    <xf numFmtId="0" fontId="6" fillId="0" borderId="0" xfId="0" applyFont="1" applyAlignment="1">
      <alignment horizontal="left" vertical="top" wrapText="1"/>
    </xf>
    <xf numFmtId="0" fontId="0" fillId="13" borderId="22" xfId="0" applyFont="1" applyFill="1" applyBorder="1" applyAlignment="1">
      <alignment horizontal="center"/>
    </xf>
    <xf numFmtId="0" fontId="0" fillId="13" borderId="0" xfId="0" applyFont="1" applyFill="1" applyBorder="1" applyAlignment="1">
      <alignment horizontal="center"/>
    </xf>
    <xf numFmtId="0" fontId="0" fillId="13" borderId="23" xfId="0" applyFont="1" applyFill="1" applyBorder="1" applyAlignment="1">
      <alignment horizontal="center"/>
    </xf>
    <xf numFmtId="0" fontId="0" fillId="14" borderId="28" xfId="0" applyFont="1" applyFill="1" applyBorder="1" applyAlignment="1">
      <alignment horizontal="center"/>
    </xf>
    <xf numFmtId="0" fontId="0" fillId="14" borderId="0" xfId="0" applyFont="1" applyFill="1" applyBorder="1" applyAlignment="1">
      <alignment horizontal="center"/>
    </xf>
    <xf numFmtId="0" fontId="0" fillId="14" borderId="29" xfId="0" applyFont="1" applyFill="1" applyBorder="1" applyAlignment="1">
      <alignment horizontal="center"/>
    </xf>
    <xf numFmtId="0" fontId="0" fillId="0" borderId="5" xfId="0" applyBorder="1" applyAlignment="1">
      <alignment horizontal="center" textRotation="90"/>
    </xf>
    <xf numFmtId="0" fontId="0" fillId="0" borderId="9" xfId="0" applyBorder="1" applyAlignment="1">
      <alignment horizontal="center" textRotation="90"/>
    </xf>
    <xf numFmtId="0" fontId="0" fillId="0" borderId="4" xfId="0" applyBorder="1" applyAlignment="1">
      <alignment horizontal="center" textRotation="90"/>
    </xf>
    <xf numFmtId="0" fontId="0" fillId="12" borderId="0" xfId="0" applyFont="1" applyFill="1" applyBorder="1" applyAlignment="1">
      <alignment horizontal="center"/>
    </xf>
    <xf numFmtId="0" fontId="0" fillId="12" borderId="20" xfId="0" applyFont="1" applyFill="1" applyBorder="1" applyAlignment="1">
      <alignment horizontal="center"/>
    </xf>
    <xf numFmtId="0" fontId="8" fillId="8" borderId="7" xfId="0" applyFont="1" applyFill="1" applyBorder="1" applyAlignment="1">
      <alignment horizontal="center" textRotation="255"/>
    </xf>
    <xf numFmtId="0" fontId="8" fillId="8" borderId="8" xfId="0" applyFont="1" applyFill="1" applyBorder="1" applyAlignment="1">
      <alignment horizontal="center" textRotation="255"/>
    </xf>
    <xf numFmtId="0" fontId="8" fillId="8" borderId="11" xfId="0" applyFont="1" applyFill="1" applyBorder="1" applyAlignment="1">
      <alignment horizontal="center" textRotation="255"/>
    </xf>
    <xf numFmtId="0" fontId="8" fillId="9" borderId="7" xfId="0" applyFont="1" applyFill="1" applyBorder="1" applyAlignment="1">
      <alignment horizontal="center" textRotation="255"/>
    </xf>
    <xf numFmtId="0" fontId="8" fillId="9" borderId="8" xfId="0" applyFont="1" applyFill="1" applyBorder="1" applyAlignment="1">
      <alignment horizontal="center" textRotation="255"/>
    </xf>
    <xf numFmtId="0" fontId="8" fillId="9" borderId="11" xfId="0" applyFont="1" applyFill="1" applyBorder="1" applyAlignment="1">
      <alignment horizontal="center" textRotation="255"/>
    </xf>
    <xf numFmtId="0" fontId="8" fillId="10" borderId="7" xfId="0" applyFont="1" applyFill="1" applyBorder="1" applyAlignment="1">
      <alignment horizontal="center" textRotation="255"/>
    </xf>
    <xf numFmtId="0" fontId="8" fillId="10" borderId="8" xfId="0" applyFont="1" applyFill="1" applyBorder="1" applyAlignment="1">
      <alignment horizontal="center" textRotation="255"/>
    </xf>
    <xf numFmtId="0" fontId="8" fillId="10" borderId="11" xfId="0" applyFont="1" applyFill="1" applyBorder="1" applyAlignment="1">
      <alignment horizontal="center" textRotation="255"/>
    </xf>
    <xf numFmtId="0" fontId="8" fillId="11" borderId="7" xfId="0" applyFont="1" applyFill="1" applyBorder="1" applyAlignment="1">
      <alignment horizontal="center" textRotation="255"/>
    </xf>
    <xf numFmtId="0" fontId="8" fillId="11" borderId="8" xfId="0" applyFont="1" applyFill="1" applyBorder="1" applyAlignment="1">
      <alignment horizontal="center" textRotation="255"/>
    </xf>
    <xf numFmtId="0" fontId="8" fillId="11" borderId="11" xfId="0" applyFont="1" applyFill="1" applyBorder="1" applyAlignment="1">
      <alignment horizontal="center" textRotation="255"/>
    </xf>
    <xf numFmtId="0" fontId="6" fillId="0" borderId="0" xfId="0" applyFont="1" applyAlignment="1">
      <alignment horizontal="left" wrapText="1"/>
    </xf>
    <xf numFmtId="0" fontId="0" fillId="0" borderId="0" xfId="0" applyAlignment="1">
      <alignment horizontal="left" wrapText="1"/>
    </xf>
    <xf numFmtId="0" fontId="0" fillId="0" borderId="0" xfId="0" applyAlignment="1">
      <alignment horizontal="right" wrapText="1"/>
    </xf>
    <xf numFmtId="0" fontId="8" fillId="2" borderId="0" xfId="0" applyFont="1" applyFill="1" applyAlignment="1">
      <alignment horizontal="left" wrapText="1"/>
    </xf>
    <xf numFmtId="0" fontId="14" fillId="0" borderId="0" xfId="0" applyFont="1" applyAlignment="1">
      <alignment horizontal="left" wrapText="1"/>
    </xf>
  </cellXfs>
  <cellStyles count="290">
    <cellStyle name="20% - Accent1" xfId="265" builtinId="30" customBuiltin="1"/>
    <cellStyle name="20% - Accent2" xfId="269" builtinId="34" customBuiltin="1"/>
    <cellStyle name="20% - Accent3" xfId="273" builtinId="38" customBuiltin="1"/>
    <cellStyle name="20% - Accent4" xfId="277" builtinId="42" customBuiltin="1"/>
    <cellStyle name="20% - Accent5" xfId="281" builtinId="46" customBuiltin="1"/>
    <cellStyle name="20% - Accent6" xfId="285" builtinId="50" customBuiltin="1"/>
    <cellStyle name="40% - Accent1" xfId="266" builtinId="31" customBuiltin="1"/>
    <cellStyle name="40% - Accent2" xfId="270" builtinId="35" customBuiltin="1"/>
    <cellStyle name="40% - Accent3" xfId="274" builtinId="39" customBuiltin="1"/>
    <cellStyle name="40% - Accent4" xfId="278" builtinId="43" customBuiltin="1"/>
    <cellStyle name="40% - Accent5" xfId="282" builtinId="47" customBuiltin="1"/>
    <cellStyle name="40% - Accent6" xfId="286" builtinId="51" customBuiltin="1"/>
    <cellStyle name="60% - Accent1" xfId="267" builtinId="32" customBuiltin="1"/>
    <cellStyle name="60% - Accent2" xfId="271" builtinId="36" customBuiltin="1"/>
    <cellStyle name="60% - Accent3" xfId="275" builtinId="40" customBuiltin="1"/>
    <cellStyle name="60% - Accent4" xfId="279" builtinId="44" customBuiltin="1"/>
    <cellStyle name="60% - Accent5" xfId="283" builtinId="48" customBuiltin="1"/>
    <cellStyle name="60% - Accent6" xfId="287" builtinId="52" customBuiltin="1"/>
    <cellStyle name="Accent1" xfId="264" builtinId="29" customBuiltin="1"/>
    <cellStyle name="Accent2" xfId="268" builtinId="33" customBuiltin="1"/>
    <cellStyle name="Accent3" xfId="272" builtinId="37" customBuiltin="1"/>
    <cellStyle name="Accent4" xfId="276" builtinId="41" customBuiltin="1"/>
    <cellStyle name="Accent5" xfId="280" builtinId="45" customBuiltin="1"/>
    <cellStyle name="Accent6" xfId="284" builtinId="49" customBuiltin="1"/>
    <cellStyle name="Bad" xfId="254" builtinId="27" customBuiltin="1"/>
    <cellStyle name="Calculation" xfId="258" builtinId="22" customBuiltin="1"/>
    <cellStyle name="Check Cell" xfId="260" builtinId="23" customBuiltin="1"/>
    <cellStyle name="Explanatory Text" xfId="262" builtinId="53" customBuiltin="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Good" xfId="253" builtinId="26" customBuiltin="1"/>
    <cellStyle name="Heading 1" xfId="249" builtinId="16" customBuiltin="1"/>
    <cellStyle name="Heading 2" xfId="250" builtinId="17" customBuiltin="1"/>
    <cellStyle name="Heading 3" xfId="251" builtinId="18" customBuiltin="1"/>
    <cellStyle name="Heading 4" xfId="252" builtinId="19" customBuilti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Input" xfId="256" builtinId="20" customBuiltin="1"/>
    <cellStyle name="Linked Cell" xfId="259" builtinId="24" customBuiltin="1"/>
    <cellStyle name="Neutral" xfId="255" builtinId="28" customBuiltin="1"/>
    <cellStyle name="Normal" xfId="0" builtinId="0"/>
    <cellStyle name="Normal 2" xfId="288"/>
    <cellStyle name="Note 2" xfId="289"/>
    <cellStyle name="Output" xfId="257" builtinId="21" customBuiltin="1"/>
    <cellStyle name="Percent" xfId="167" builtinId="5"/>
    <cellStyle name="Title" xfId="248" builtinId="15" customBuiltin="1"/>
    <cellStyle name="Total" xfId="263" builtinId="25" customBuiltin="1"/>
    <cellStyle name="Warning Text" xfId="261" builtinId="11" customBuiltin="1"/>
  </cellStyles>
  <dxfs count="23">
    <dxf>
      <numFmt numFmtId="2" formatCode="0.00"/>
      <fill>
        <patternFill patternType="none"/>
      </fill>
      <border diagonalUp="0" diagonalDown="0" outline="0">
        <left style="thin">
          <color auto="1"/>
        </left>
        <right/>
        <top style="thin">
          <color auto="1"/>
        </top>
        <bottom style="thin">
          <color auto="1"/>
        </bottom>
      </border>
    </dxf>
    <dxf>
      <numFmt numFmtId="2" formatCode="0.00"/>
      <fill>
        <patternFill patternType="none"/>
      </fill>
      <border diagonalUp="0" diagonalDown="0" outline="0">
        <left style="thin">
          <color auto="1"/>
        </left>
        <right style="thin">
          <color auto="1"/>
        </right>
        <top style="thin">
          <color auto="1"/>
        </top>
        <bottom style="thin">
          <color auto="1"/>
        </bottom>
      </border>
    </dxf>
    <dxf>
      <numFmt numFmtId="2" formatCode="0.00"/>
      <fill>
        <patternFill patternType="none"/>
      </fill>
      <border diagonalUp="0" diagonalDown="0" outline="0">
        <left style="thin">
          <color auto="1"/>
        </left>
        <right style="thin">
          <color auto="1"/>
        </right>
        <top style="thin">
          <color auto="1"/>
        </top>
        <bottom style="thin">
          <color auto="1"/>
        </bottom>
      </border>
    </dxf>
    <dxf>
      <fill>
        <patternFill patternType="none">
          <fgColor indexed="6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ill>
        <patternFill patternType="none"/>
      </fill>
      <border diagonalUp="0" diagonalDown="0" outline="0">
        <left style="thin">
          <color auto="1"/>
        </left>
        <right style="thin">
          <color auto="1"/>
        </right>
        <top style="thin">
          <color auto="1"/>
        </top>
        <bottom style="thin">
          <color auto="1"/>
        </bottom>
      </border>
    </dxf>
    <dxf>
      <numFmt numFmtId="2" formatCode="0.00"/>
      <fill>
        <patternFill patternType="none"/>
      </fill>
      <border diagonalUp="0" diagonalDown="0" outline="0">
        <left style="thin">
          <color auto="1"/>
        </left>
        <right style="thin">
          <color auto="1"/>
        </right>
        <top style="thin">
          <color auto="1"/>
        </top>
        <bottom style="thin">
          <color auto="1"/>
        </bottom>
      </border>
    </dxf>
    <dxf>
      <numFmt numFmtId="2" formatCode="0.00"/>
      <fill>
        <patternFill patternType="none"/>
      </fill>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2"/>
        <color rgb="FF000000"/>
        <name val="Calibri"/>
        <scheme val="minor"/>
      </font>
      <fill>
        <patternFill patternType="none">
          <fgColor rgb="FF000000"/>
          <bgColor rgb="FFFFFFFF"/>
        </patternFill>
      </fill>
      <border diagonalUp="0" diagonalDown="0" outline="0">
        <left style="thin">
          <color auto="1"/>
        </left>
        <right style="thin">
          <color auto="1"/>
        </right>
        <top style="thin">
          <color auto="1"/>
        </top>
        <bottom style="thin">
          <color auto="1"/>
        </bottom>
      </border>
    </dxf>
    <dxf>
      <fill>
        <patternFill patternType="none"/>
      </fill>
      <border diagonalUp="0" diagonalDown="0">
        <left style="thin">
          <color indexed="64"/>
        </left>
        <right style="thin">
          <color auto="1"/>
        </right>
        <top style="thin">
          <color indexed="64"/>
        </top>
        <bottom style="thin">
          <color indexed="64"/>
        </bottom>
        <vertical style="thin">
          <color indexed="64"/>
        </vertical>
        <horizontal style="thin">
          <color indexed="64"/>
        </horizontal>
      </border>
    </dxf>
    <dxf>
      <border outline="0">
        <right style="thin">
          <color auto="1"/>
        </right>
        <top style="thin">
          <color auto="1"/>
        </top>
      </border>
    </dxf>
    <dxf>
      <fill>
        <patternFill patternType="none"/>
      </fill>
    </dxf>
    <dxf>
      <border outline="0">
        <bottom style="thin">
          <color auto="1"/>
        </bottom>
      </border>
    </dxf>
    <dxf>
      <fill>
        <patternFill patternType="none"/>
      </fill>
      <alignment horizontal="center" vertical="center" textRotation="0" wrapText="1" indent="0" justifyLastLine="0" shrinkToFit="0" readingOrder="0"/>
      <border diagonalUp="0" diagonalDown="0" outline="0">
        <left style="thin">
          <color auto="1"/>
        </left>
        <right style="thin">
          <color auto="1"/>
        </right>
        <top/>
        <bottom/>
      </border>
    </dxf>
    <dxf>
      <font>
        <color rgb="FF9C0006"/>
      </font>
      <fill>
        <patternFill>
          <bgColor rgb="FFFFC7CE"/>
        </patternFill>
      </fill>
    </dxf>
    <dxf>
      <font>
        <color rgb="FF006100"/>
      </font>
      <fill>
        <patternFill>
          <bgColor rgb="FFC6EFCE"/>
        </patternFill>
      </fill>
    </dxf>
    <dxf>
      <font>
        <color rgb="FF9C6500"/>
      </font>
      <fill>
        <patternFill>
          <bgColor rgb="FFFFEB9C"/>
        </patternFill>
      </fill>
    </dxf>
    <dxf>
      <numFmt numFmtId="0" formatCode="General"/>
    </dxf>
    <dxf>
      <alignment horizontal="center" textRotation="0" indent="0" justifyLastLine="0" shrinkToFit="0"/>
    </dxf>
    <dxf>
      <alignment horizontal="left" vertical="top" textRotation="0" wrapText="1" indent="0" justifyLastLine="0" shrinkToFit="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609600</xdr:colOff>
          <xdr:row>0</xdr:row>
          <xdr:rowOff>101600</xdr:rowOff>
        </xdr:from>
        <xdr:to>
          <xdr:col>5</xdr:col>
          <xdr:colOff>596900</xdr:colOff>
          <xdr:row>0</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Show </a:t>
              </a:r>
            </a:p>
            <a:p>
              <a:pPr algn="ctr" rtl="0">
                <a:defRPr sz="1000"/>
              </a:pPr>
              <a:r>
                <a:rPr lang="en-US" sz="1200" b="0" i="0" u="none" strike="noStrike" baseline="0">
                  <a:solidFill>
                    <a:srgbClr val="000000"/>
                  </a:solidFill>
                  <a:latin typeface="Lucida Grande"/>
                  <a:ea typeface="Lucida Grande"/>
                  <a:cs typeface="Lucida Grande"/>
                </a:rPr>
                <a:t>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0</xdr:row>
          <xdr:rowOff>101600</xdr:rowOff>
        </xdr:from>
        <xdr:to>
          <xdr:col>7</xdr:col>
          <xdr:colOff>406400</xdr:colOff>
          <xdr:row>0</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Hide</a:t>
              </a:r>
            </a:p>
            <a:p>
              <a:pPr algn="ctr" rtl="0">
                <a:defRPr sz="1000"/>
              </a:pPr>
              <a:r>
                <a:rPr lang="en-US" sz="1200" b="0" i="0" u="none" strike="noStrike" baseline="0">
                  <a:solidFill>
                    <a:srgbClr val="000000"/>
                  </a:solidFill>
                  <a:latin typeface="Lucida Grande"/>
                  <a:ea typeface="Lucida Grande"/>
                  <a:cs typeface="Lucida Grande"/>
                </a:rPr>
                <a:t> Instructions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0</xdr:row>
          <xdr:rowOff>101600</xdr:rowOff>
        </xdr:from>
        <xdr:to>
          <xdr:col>0</xdr:col>
          <xdr:colOff>1206500</xdr:colOff>
          <xdr:row>0</xdr:row>
          <xdr:rowOff>444500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Show </a:t>
              </a:r>
            </a:p>
            <a:p>
              <a:pPr algn="ctr" rtl="0">
                <a:defRPr sz="1000"/>
              </a:pPr>
              <a:r>
                <a:rPr lang="en-US" sz="1200" b="0" i="0" u="none" strike="noStrike" baseline="0">
                  <a:solidFill>
                    <a:srgbClr val="000000"/>
                  </a:solidFill>
                  <a:latin typeface="Lucida Grande"/>
                  <a:ea typeface="Lucida Grande"/>
                  <a:cs typeface="Lucida Grande"/>
                </a:rPr>
                <a:t>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1409700</xdr:colOff>
          <xdr:row>0</xdr:row>
          <xdr:rowOff>101600</xdr:rowOff>
        </xdr:from>
        <xdr:to>
          <xdr:col>2</xdr:col>
          <xdr:colOff>0</xdr:colOff>
          <xdr:row>0</xdr:row>
          <xdr:rowOff>444500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Hide</a:t>
              </a:r>
            </a:p>
            <a:p>
              <a:pPr algn="ctr" rtl="0">
                <a:defRPr sz="1000"/>
              </a:pPr>
              <a:r>
                <a:rPr lang="en-US" sz="1200" b="0" i="0" u="none" strike="noStrike" baseline="0">
                  <a:solidFill>
                    <a:srgbClr val="000000"/>
                  </a:solidFill>
                  <a:latin typeface="Lucida Grande"/>
                  <a:ea typeface="Lucida Grande"/>
                  <a:cs typeface="Lucida Grande"/>
                </a:rPr>
                <a: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1562100</xdr:colOff>
          <xdr:row>0</xdr:row>
          <xdr:rowOff>101600</xdr:rowOff>
        </xdr:from>
        <xdr:to>
          <xdr:col>3</xdr:col>
          <xdr:colOff>723900</xdr:colOff>
          <xdr:row>0</xdr:row>
          <xdr:rowOff>444500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Add more samples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25400</xdr:rowOff>
        </xdr:from>
        <xdr:to>
          <xdr:col>1</xdr:col>
          <xdr:colOff>25400</xdr:colOff>
          <xdr:row>3</xdr:row>
          <xdr:rowOff>101600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1</xdr:row>
          <xdr:rowOff>25400</xdr:rowOff>
        </xdr:from>
        <xdr:to>
          <xdr:col>4</xdr:col>
          <xdr:colOff>596900</xdr:colOff>
          <xdr:row>3</xdr:row>
          <xdr:rowOff>101600</xdr:rowOff>
        </xdr:to>
        <xdr:sp macro="" textlink="">
          <xdr:nvSpPr>
            <xdr:cNvPr id="7175" name="Button 7" hidden="1">
              <a:extLst>
                <a:ext uri="{63B3BB69-23CF-44E3-9099-C40C66FF867C}">
                  <a14:compatExt spid="_x0000_s7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Add more samples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101600</xdr:colOff>
          <xdr:row>1</xdr:row>
          <xdr:rowOff>25400</xdr:rowOff>
        </xdr:from>
        <xdr:to>
          <xdr:col>2</xdr:col>
          <xdr:colOff>558800</xdr:colOff>
          <xdr:row>3</xdr:row>
          <xdr:rowOff>101600</xdr:rowOff>
        </xdr:to>
        <xdr:sp macro="" textlink="">
          <xdr:nvSpPr>
            <xdr:cNvPr id="7176" name="Button 8" hidden="1">
              <a:extLst>
                <a:ext uri="{63B3BB69-23CF-44E3-9099-C40C66FF867C}">
                  <a14:compatExt spid="_x0000_s7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Hide Instructions</a:t>
              </a:r>
            </a:p>
          </xdr:txBody>
        </xdr:sp>
        <xdr:clientData fPrintsWithSheet="0"/>
      </xdr:twoCellAnchor>
    </mc:Choice>
    <mc:Fallback/>
  </mc:AlternateContent>
</xdr:wsDr>
</file>

<file path=xl/tables/table1.xml><?xml version="1.0" encoding="utf-8"?>
<table xmlns="http://schemas.openxmlformats.org/spreadsheetml/2006/main" id="1" name="Table1" displayName="Table1" ref="A3:D363" totalsRowShown="0" headerRowDxfId="18">
  <autoFilter ref="A3:D363"/>
  <tableColumns count="4">
    <tableColumn id="1" name="SAMPLE ID"/>
    <tableColumn id="2" name="Sample Location" dataDxfId="17"/>
    <tableColumn id="4" name="Picogreen Result (ng/μl)" dataDxfId="16">
      <calculatedColumnFormula>'Picogreen Results'!$C$6</calculatedColumnFormula>
    </tableColumn>
    <tableColumn id="3" name="Notes"/>
  </tableColumns>
  <tableStyleInfo name="TableStyleMedium15" showFirstColumn="0" showLastColumn="0" showRowStripes="1" showColumnStripes="0"/>
</table>
</file>

<file path=xl/tables/table2.xml><?xml version="1.0" encoding="utf-8"?>
<table xmlns="http://schemas.openxmlformats.org/spreadsheetml/2006/main" id="2" name="Table2" displayName="Table2" ref="A9:I249" totalsRowShown="0" headerRowDxfId="12" dataDxfId="10" headerRowBorderDxfId="11" tableBorderDxfId="9">
  <autoFilter ref="A9:I249"/>
  <tableColumns count="9">
    <tableColumn id="1" name="SAMPLE ID" dataDxfId="8"/>
    <tableColumn id="2" name="Picogreen Result (ng/μl)" dataDxfId="7">
      <calculatedColumnFormula>'Intermediate Results'!C4</calculatedColumnFormula>
    </tableColumn>
    <tableColumn id="3" name="Ideal Pool" dataDxfId="6">
      <calculatedColumnFormula>$A$7/B10</calculatedColumnFormula>
    </tableColumn>
    <tableColumn id="4" name="Capped Pool" dataDxfId="5">
      <calculatedColumnFormula>MIN(C10,$C$7)</calculatedColumnFormula>
    </tableColumn>
    <tableColumn id="5" name="Added to Pool" dataDxfId="4"/>
    <tableColumn id="6" name="Sample Loc" dataDxfId="3">
      <calculatedColumnFormula>'Intermediate Results'!B4</calculatedColumnFormula>
    </tableColumn>
    <tableColumn id="7" name="Difference (Ideal -Capped)" dataDxfId="2">
      <calculatedColumnFormula>C10-D10</calculatedColumnFormula>
    </tableColumn>
    <tableColumn id="8" name="Ideal/ Capped" dataDxfId="1">
      <calculatedColumnFormula>C10/D10</calculatedColumnFormula>
    </tableColumn>
    <tableColumn id="9" name="Sum ng DNA" dataDxfId="0">
      <calculatedColumnFormula>B10*D10</calculatedColumnFormula>
    </tableColumn>
  </tableColumns>
  <tableStyleInfo name="TableStyleMedium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3.xml"/><Relationship Id="rId5" Type="http://schemas.openxmlformats.org/officeDocument/2006/relationships/ctrlProp" Target="../ctrlProps/ctrlProp4.xml"/><Relationship Id="rId6" Type="http://schemas.openxmlformats.org/officeDocument/2006/relationships/ctrlProp" Target="../ctrlProps/ctrlProp5.xml"/><Relationship Id="rId7" Type="http://schemas.openxmlformats.org/officeDocument/2006/relationships/table" Target="../tables/table1.xml"/><Relationship Id="rId8" Type="http://schemas.openxmlformats.org/officeDocument/2006/relationships/comments" Target="../comments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6.xml"/><Relationship Id="rId5" Type="http://schemas.openxmlformats.org/officeDocument/2006/relationships/ctrlProp" Target="../ctrlProps/ctrlProp7.xml"/><Relationship Id="rId6" Type="http://schemas.openxmlformats.org/officeDocument/2006/relationships/ctrlProp" Target="../ctrlProps/ctrlProp8.xml"/><Relationship Id="rId7" Type="http://schemas.openxmlformats.org/officeDocument/2006/relationships/table" Target="../tables/table2.xml"/><Relationship Id="rId8" Type="http://schemas.openxmlformats.org/officeDocument/2006/relationships/comments" Target="../comments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rgb="FF008000"/>
  </sheetPr>
  <dimension ref="A1:M69"/>
  <sheetViews>
    <sheetView view="pageLayout" zoomScale="80" workbookViewId="0">
      <selection activeCell="E30" sqref="E30"/>
    </sheetView>
  </sheetViews>
  <sheetFormatPr baseColWidth="10" defaultColWidth="11.1640625" defaultRowHeight="16" x14ac:dyDescent="0.2"/>
  <cols>
    <col min="1" max="1" width="3" customWidth="1"/>
    <col min="2" max="2" width="8.5" style="8" customWidth="1"/>
    <col min="3" max="3" width="8.1640625" customWidth="1"/>
    <col min="4" max="4" width="8.6640625" customWidth="1"/>
    <col min="5" max="5" width="7.1640625" customWidth="1"/>
    <col min="6" max="6" width="8.5" customWidth="1"/>
    <col min="7" max="7" width="11.1640625" style="6"/>
  </cols>
  <sheetData>
    <row r="1" spans="1:13" ht="42" customHeight="1" x14ac:dyDescent="0.2">
      <c r="A1" s="65"/>
      <c r="B1" s="65"/>
      <c r="C1" s="65"/>
      <c r="D1" s="65"/>
      <c r="E1" s="65"/>
      <c r="F1" s="65"/>
      <c r="G1" s="65"/>
      <c r="H1" s="65"/>
    </row>
    <row r="2" spans="1:13" ht="16.25" customHeight="1" x14ac:dyDescent="0.2">
      <c r="A2" s="81" t="s">
        <v>235</v>
      </c>
      <c r="B2" s="81"/>
      <c r="C2" s="81"/>
      <c r="D2" s="81"/>
      <c r="E2" s="81"/>
      <c r="F2" s="81"/>
      <c r="G2" s="81"/>
      <c r="H2" s="81"/>
      <c r="I2" s="81"/>
      <c r="J2" s="81"/>
      <c r="K2" s="81"/>
      <c r="L2" s="81"/>
      <c r="M2" s="81"/>
    </row>
    <row r="3" spans="1:13" s="7" customFormat="1" ht="46.25" customHeight="1" x14ac:dyDescent="0.2">
      <c r="A3" s="81"/>
      <c r="B3" s="81"/>
      <c r="C3" s="81"/>
      <c r="D3" s="81"/>
      <c r="E3" s="81"/>
      <c r="F3" s="81"/>
      <c r="G3" s="81"/>
      <c r="H3" s="81"/>
      <c r="I3" s="81"/>
      <c r="J3" s="81"/>
      <c r="K3" s="81"/>
      <c r="L3" s="81"/>
      <c r="M3" s="81"/>
    </row>
    <row r="4" spans="1:13" ht="31.25" customHeight="1" x14ac:dyDescent="0.2">
      <c r="B4"/>
      <c r="C4" s="91"/>
      <c r="D4" s="91"/>
      <c r="E4" s="92"/>
      <c r="F4" s="82"/>
      <c r="G4" s="83"/>
      <c r="H4" s="84"/>
      <c r="I4" s="85"/>
      <c r="J4" s="86"/>
      <c r="K4" s="87"/>
    </row>
    <row r="5" spans="1:13" x14ac:dyDescent="0.2">
      <c r="B5" s="20">
        <v>1</v>
      </c>
      <c r="C5" s="41">
        <v>2</v>
      </c>
      <c r="D5" s="41">
        <v>3</v>
      </c>
      <c r="E5" s="42">
        <v>4</v>
      </c>
      <c r="F5" s="46">
        <v>5</v>
      </c>
      <c r="G5" s="41">
        <v>6</v>
      </c>
      <c r="H5" s="47">
        <v>7</v>
      </c>
      <c r="I5" s="54">
        <v>8</v>
      </c>
      <c r="J5" s="41">
        <v>9</v>
      </c>
      <c r="K5" s="55">
        <v>10</v>
      </c>
      <c r="L5" s="20">
        <v>11</v>
      </c>
      <c r="M5" s="20">
        <v>12</v>
      </c>
    </row>
    <row r="6" spans="1:13" x14ac:dyDescent="0.2">
      <c r="A6" s="20" t="s">
        <v>25</v>
      </c>
      <c r="B6" s="88" t="s">
        <v>236</v>
      </c>
      <c r="C6" s="38">
        <v>3.181</v>
      </c>
      <c r="D6" s="38">
        <v>2.7639999999999998</v>
      </c>
      <c r="E6" s="43">
        <v>1.6519999999999999</v>
      </c>
      <c r="F6" s="48">
        <v>4.5209999999999999</v>
      </c>
      <c r="G6" s="38">
        <v>1.45</v>
      </c>
      <c r="H6" s="49">
        <v>4.4770000000000003</v>
      </c>
      <c r="I6" s="56">
        <v>5.9740000000000002</v>
      </c>
      <c r="J6" s="38">
        <v>6.21</v>
      </c>
      <c r="K6" s="57">
        <v>0.79700000000000004</v>
      </c>
      <c r="L6" s="78" t="s">
        <v>237</v>
      </c>
      <c r="M6" s="66" t="s">
        <v>83</v>
      </c>
    </row>
    <row r="7" spans="1:13" x14ac:dyDescent="0.2">
      <c r="A7" s="20" t="s">
        <v>26</v>
      </c>
      <c r="B7" s="89"/>
      <c r="C7" s="39">
        <v>1.4590000000000001</v>
      </c>
      <c r="D7" s="39">
        <v>1.296</v>
      </c>
      <c r="E7" s="44">
        <v>1.8819999999999999</v>
      </c>
      <c r="F7" s="50">
        <v>3.129</v>
      </c>
      <c r="G7" s="39">
        <v>0.96499999999999997</v>
      </c>
      <c r="H7" s="51">
        <v>3.262</v>
      </c>
      <c r="I7" s="58">
        <v>6.157</v>
      </c>
      <c r="J7" s="39">
        <v>4.3550000000000004</v>
      </c>
      <c r="K7" s="59">
        <v>1.1579999999999999</v>
      </c>
      <c r="L7" s="79"/>
      <c r="M7" s="67"/>
    </row>
    <row r="8" spans="1:13" x14ac:dyDescent="0.2">
      <c r="A8" s="20" t="s">
        <v>27</v>
      </c>
      <c r="B8" s="89"/>
      <c r="C8" s="39">
        <v>2.8730000000000002</v>
      </c>
      <c r="D8" s="39">
        <v>1.6879999999999999</v>
      </c>
      <c r="E8" s="44">
        <v>2.85</v>
      </c>
      <c r="F8" s="50">
        <v>4.9809999999999999</v>
      </c>
      <c r="G8" s="39">
        <v>1.4910000000000001</v>
      </c>
      <c r="H8" s="51">
        <v>3.2109999999999999</v>
      </c>
      <c r="I8" s="58">
        <v>5.2619999999999996</v>
      </c>
      <c r="J8" s="39">
        <v>4.7889999999999997</v>
      </c>
      <c r="K8" s="59">
        <v>1.0840000000000001</v>
      </c>
      <c r="L8" s="79"/>
      <c r="M8" s="67"/>
    </row>
    <row r="9" spans="1:13" x14ac:dyDescent="0.2">
      <c r="A9" s="20" t="s">
        <v>28</v>
      </c>
      <c r="B9" s="89"/>
      <c r="C9" s="39">
        <v>3.8119999999999998</v>
      </c>
      <c r="D9" s="39">
        <v>2.0219999999999998</v>
      </c>
      <c r="E9" s="44">
        <v>4.0670000000000002</v>
      </c>
      <c r="F9" s="50">
        <v>6.06</v>
      </c>
      <c r="G9" s="39">
        <v>2.0499999999999998</v>
      </c>
      <c r="H9" s="51">
        <v>5.1159999999999997</v>
      </c>
      <c r="I9" s="58">
        <v>6.8970000000000002</v>
      </c>
      <c r="J9" s="39">
        <v>6.157</v>
      </c>
      <c r="K9" s="59">
        <v>1.3149999999999999</v>
      </c>
      <c r="L9" s="79"/>
      <c r="M9" s="67"/>
    </row>
    <row r="10" spans="1:13" x14ac:dyDescent="0.2">
      <c r="A10" s="20" t="s">
        <v>29</v>
      </c>
      <c r="B10" s="89"/>
      <c r="C10" s="39">
        <v>1.5029999999999999</v>
      </c>
      <c r="D10" s="39">
        <v>1.2410000000000001</v>
      </c>
      <c r="E10" s="44">
        <v>3.3220000000000001</v>
      </c>
      <c r="F10" s="50">
        <v>4.7300000000000004</v>
      </c>
      <c r="G10" s="39">
        <v>2.6259999999999999</v>
      </c>
      <c r="H10" s="51">
        <v>5.681</v>
      </c>
      <c r="I10" s="58">
        <v>5.6639999999999997</v>
      </c>
      <c r="J10" s="39">
        <v>6.8630000000000004</v>
      </c>
      <c r="K10" s="59">
        <v>1.163</v>
      </c>
      <c r="L10" s="79"/>
      <c r="M10" s="67"/>
    </row>
    <row r="11" spans="1:13" x14ac:dyDescent="0.2">
      <c r="A11" s="20" t="s">
        <v>30</v>
      </c>
      <c r="B11" s="89"/>
      <c r="C11" s="39">
        <v>1.2350000000000001</v>
      </c>
      <c r="D11" s="39">
        <v>1.58</v>
      </c>
      <c r="E11" s="44">
        <v>2.0640000000000001</v>
      </c>
      <c r="F11" s="50">
        <v>3.9580000000000002</v>
      </c>
      <c r="G11" s="39">
        <v>2.887</v>
      </c>
      <c r="H11" s="51">
        <v>4.5659999999999998</v>
      </c>
      <c r="I11" s="58">
        <v>4.4530000000000003</v>
      </c>
      <c r="J11" s="39">
        <v>5.6920000000000002</v>
      </c>
      <c r="K11" s="59">
        <v>1.157</v>
      </c>
      <c r="L11" s="79"/>
      <c r="M11" s="67"/>
    </row>
    <row r="12" spans="1:13" x14ac:dyDescent="0.2">
      <c r="A12" s="20" t="s">
        <v>31</v>
      </c>
      <c r="B12" s="89"/>
      <c r="C12" s="39">
        <v>1.9450000000000001</v>
      </c>
      <c r="D12" s="39">
        <v>1.8979999999999999</v>
      </c>
      <c r="E12" s="44">
        <v>3.0920000000000001</v>
      </c>
      <c r="F12" s="50">
        <v>4.5650000000000004</v>
      </c>
      <c r="G12" s="39">
        <v>3.121</v>
      </c>
      <c r="H12" s="51">
        <v>4.7750000000000004</v>
      </c>
      <c r="I12" s="58">
        <v>3.5790000000000002</v>
      </c>
      <c r="J12" s="39">
        <v>5.798</v>
      </c>
      <c r="K12" s="59">
        <v>1.0309999999999999</v>
      </c>
      <c r="L12" s="79"/>
      <c r="M12" s="67"/>
    </row>
    <row r="13" spans="1:13" x14ac:dyDescent="0.2">
      <c r="A13" s="20" t="s">
        <v>32</v>
      </c>
      <c r="B13" s="90"/>
      <c r="C13" s="40">
        <v>3.081</v>
      </c>
      <c r="D13" s="40">
        <v>4.3410000000000002</v>
      </c>
      <c r="E13" s="45">
        <v>4.1619999999999999</v>
      </c>
      <c r="F13" s="52">
        <v>5.9409999999999998</v>
      </c>
      <c r="G13" s="40">
        <v>5.9569999999999999</v>
      </c>
      <c r="H13" s="53">
        <v>5.9459999999999997</v>
      </c>
      <c r="I13" s="60">
        <v>5.5670000000000002</v>
      </c>
      <c r="J13" s="40">
        <v>6.359</v>
      </c>
      <c r="K13" s="61">
        <v>1.45</v>
      </c>
      <c r="L13" s="80"/>
      <c r="M13" s="68"/>
    </row>
    <row r="14" spans="1:13" x14ac:dyDescent="0.2">
      <c r="A14" s="20" t="s">
        <v>25</v>
      </c>
      <c r="B14" s="88" t="s">
        <v>236</v>
      </c>
      <c r="C14" s="38">
        <v>6.4279999999999999</v>
      </c>
      <c r="D14" s="38">
        <v>4.8849999999999998</v>
      </c>
      <c r="E14" s="43">
        <v>1.4410000000000001</v>
      </c>
      <c r="F14" s="48">
        <v>6.0419999999999998</v>
      </c>
      <c r="G14" s="38">
        <v>6.9029999999999996</v>
      </c>
      <c r="H14" s="49">
        <v>6.4820000000000002</v>
      </c>
      <c r="I14" s="56">
        <v>2.0499999999999998</v>
      </c>
      <c r="J14" s="38">
        <v>4.8719999999999999</v>
      </c>
      <c r="K14" s="57">
        <v>2.875</v>
      </c>
      <c r="L14" s="78" t="s">
        <v>237</v>
      </c>
      <c r="M14" s="69" t="s">
        <v>84</v>
      </c>
    </row>
    <row r="15" spans="1:13" x14ac:dyDescent="0.2">
      <c r="A15" s="20" t="s">
        <v>26</v>
      </c>
      <c r="B15" s="89"/>
      <c r="C15" s="39">
        <v>4.3419999999999996</v>
      </c>
      <c r="D15" s="39">
        <v>2.9489999999999998</v>
      </c>
      <c r="E15" s="44">
        <v>3.3889999999999998</v>
      </c>
      <c r="F15" s="50">
        <v>5.4580000000000002</v>
      </c>
      <c r="G15" s="39">
        <v>5.0819999999999999</v>
      </c>
      <c r="H15" s="51">
        <v>6.157</v>
      </c>
      <c r="I15" s="58">
        <v>3.0179999999999998</v>
      </c>
      <c r="J15" s="39">
        <v>4.258</v>
      </c>
      <c r="K15" s="59">
        <v>8.1509999999999998</v>
      </c>
      <c r="L15" s="79"/>
      <c r="M15" s="70"/>
    </row>
    <row r="16" spans="1:13" x14ac:dyDescent="0.2">
      <c r="A16" s="20" t="s">
        <v>27</v>
      </c>
      <c r="B16" s="89"/>
      <c r="C16" s="39">
        <v>4.0880000000000001</v>
      </c>
      <c r="D16" s="39">
        <v>2.3530000000000002</v>
      </c>
      <c r="E16" s="44">
        <v>2.4390000000000001</v>
      </c>
      <c r="F16" s="50">
        <v>5.9829999999999997</v>
      </c>
      <c r="G16" s="39">
        <v>5.8769999999999998</v>
      </c>
      <c r="H16" s="51">
        <v>6.1790000000000003</v>
      </c>
      <c r="I16" s="58">
        <v>3.492</v>
      </c>
      <c r="J16" s="39">
        <v>4.0810000000000004</v>
      </c>
      <c r="K16" s="59">
        <v>3.3639999999999999</v>
      </c>
      <c r="L16" s="79"/>
      <c r="M16" s="70"/>
    </row>
    <row r="17" spans="1:13" x14ac:dyDescent="0.2">
      <c r="A17" s="20" t="s">
        <v>28</v>
      </c>
      <c r="B17" s="89"/>
      <c r="C17" s="39">
        <v>5.4509999999999996</v>
      </c>
      <c r="D17" s="39">
        <v>1.905</v>
      </c>
      <c r="E17" s="44">
        <v>2.5840000000000001</v>
      </c>
      <c r="F17" s="50">
        <v>6.9370000000000003</v>
      </c>
      <c r="G17" s="39">
        <v>5.915</v>
      </c>
      <c r="H17" s="51">
        <v>7.5540000000000003</v>
      </c>
      <c r="I17" s="58">
        <v>5.19</v>
      </c>
      <c r="J17" s="39">
        <v>4.7160000000000002</v>
      </c>
      <c r="K17" s="59">
        <v>7.8129999999999997</v>
      </c>
      <c r="L17" s="79"/>
      <c r="M17" s="70"/>
    </row>
    <row r="18" spans="1:13" x14ac:dyDescent="0.2">
      <c r="A18" s="20" t="s">
        <v>29</v>
      </c>
      <c r="B18" s="89"/>
      <c r="C18" s="39">
        <v>5.2430000000000003</v>
      </c>
      <c r="D18" s="39">
        <v>2.5190000000000001</v>
      </c>
      <c r="E18" s="44">
        <v>2.1909999999999998</v>
      </c>
      <c r="F18" s="50">
        <v>7.5010000000000003</v>
      </c>
      <c r="G18" s="39">
        <v>7.8520000000000003</v>
      </c>
      <c r="H18" s="51">
        <v>7.726</v>
      </c>
      <c r="I18" s="58">
        <v>4.1180000000000003</v>
      </c>
      <c r="J18" s="39">
        <v>8.5809999999999995</v>
      </c>
      <c r="K18" s="59">
        <v>5.5030000000000001</v>
      </c>
      <c r="L18" s="79"/>
      <c r="M18" s="70"/>
    </row>
    <row r="19" spans="1:13" x14ac:dyDescent="0.2">
      <c r="A19" s="20" t="s">
        <v>30</v>
      </c>
      <c r="B19" s="89"/>
      <c r="C19" s="39">
        <v>4.49</v>
      </c>
      <c r="D19" s="39">
        <v>1.696</v>
      </c>
      <c r="E19" s="44">
        <v>1.623</v>
      </c>
      <c r="F19" s="50">
        <v>5.8940000000000001</v>
      </c>
      <c r="G19" s="39">
        <v>8.0180000000000007</v>
      </c>
      <c r="H19" s="51">
        <v>7.7910000000000004</v>
      </c>
      <c r="I19" s="58">
        <v>5.3419999999999996</v>
      </c>
      <c r="J19" s="39">
        <v>7.2380000000000004</v>
      </c>
      <c r="K19" s="59">
        <v>3.0369999999999999</v>
      </c>
      <c r="L19" s="79"/>
      <c r="M19" s="70"/>
    </row>
    <row r="20" spans="1:13" x14ac:dyDescent="0.2">
      <c r="A20" s="20" t="s">
        <v>31</v>
      </c>
      <c r="B20" s="89"/>
      <c r="C20" s="39">
        <v>3.226</v>
      </c>
      <c r="D20" s="39">
        <v>0.872</v>
      </c>
      <c r="E20" s="44">
        <v>1.377</v>
      </c>
      <c r="F20" s="50">
        <v>5.617</v>
      </c>
      <c r="G20" s="39">
        <v>6.2279999999999998</v>
      </c>
      <c r="H20" s="51">
        <v>6.758</v>
      </c>
      <c r="I20" s="58">
        <v>3.3170000000000002</v>
      </c>
      <c r="J20" s="39">
        <v>6.4329999999999998</v>
      </c>
      <c r="K20" s="59">
        <v>6.7220000000000004</v>
      </c>
      <c r="L20" s="79"/>
      <c r="M20" s="70"/>
    </row>
    <row r="21" spans="1:13" x14ac:dyDescent="0.2">
      <c r="A21" s="20" t="s">
        <v>32</v>
      </c>
      <c r="B21" s="90"/>
      <c r="C21" s="40">
        <v>4.5129999999999999</v>
      </c>
      <c r="D21" s="40">
        <v>1.653</v>
      </c>
      <c r="E21" s="45">
        <v>1.7430000000000001</v>
      </c>
      <c r="F21" s="52">
        <v>3.431</v>
      </c>
      <c r="G21" s="40">
        <v>8.4109999999999996</v>
      </c>
      <c r="H21" s="53">
        <v>7.649</v>
      </c>
      <c r="I21" s="60">
        <v>5.3529999999999998</v>
      </c>
      <c r="J21" s="40">
        <v>7.3239999999999998</v>
      </c>
      <c r="K21" s="61">
        <v>4.7859999999999996</v>
      </c>
      <c r="L21" s="80"/>
      <c r="M21" s="71"/>
    </row>
    <row r="22" spans="1:13" ht="15" customHeight="1" x14ac:dyDescent="0.2">
      <c r="A22" s="20" t="s">
        <v>25</v>
      </c>
      <c r="B22" s="88" t="s">
        <v>236</v>
      </c>
      <c r="C22" s="38">
        <v>8.1310000000000002</v>
      </c>
      <c r="D22" s="38">
        <v>6.8140000000000001</v>
      </c>
      <c r="E22" s="43">
        <v>4.4059999999999997</v>
      </c>
      <c r="F22" s="48">
        <v>6.5579999999999998</v>
      </c>
      <c r="G22" s="38">
        <v>3.7789999999999999</v>
      </c>
      <c r="H22" s="49">
        <v>6.2789999999999999</v>
      </c>
      <c r="I22" s="56">
        <v>6.1269999999999998</v>
      </c>
      <c r="J22" s="38">
        <v>7.71</v>
      </c>
      <c r="K22" s="57">
        <v>7.83</v>
      </c>
      <c r="L22" s="78" t="s">
        <v>237</v>
      </c>
      <c r="M22" s="75" t="s">
        <v>85</v>
      </c>
    </row>
    <row r="23" spans="1:13" x14ac:dyDescent="0.2">
      <c r="A23" s="20" t="s">
        <v>26</v>
      </c>
      <c r="B23" s="89"/>
      <c r="C23" s="39">
        <v>7.4219999999999997</v>
      </c>
      <c r="D23" s="39">
        <v>5.3929999999999998</v>
      </c>
      <c r="E23" s="44">
        <v>5.5810000000000004</v>
      </c>
      <c r="F23" s="50">
        <v>5.609</v>
      </c>
      <c r="G23" s="39">
        <v>5.5709999999999997</v>
      </c>
      <c r="H23" s="51">
        <v>5.93</v>
      </c>
      <c r="I23" s="58">
        <v>7.2249999999999996</v>
      </c>
      <c r="J23" s="39">
        <v>8.4130000000000003</v>
      </c>
      <c r="K23" s="59">
        <v>7.6189999999999998</v>
      </c>
      <c r="L23" s="79"/>
      <c r="M23" s="76"/>
    </row>
    <row r="24" spans="1:13" x14ac:dyDescent="0.2">
      <c r="A24" s="20" t="s">
        <v>27</v>
      </c>
      <c r="B24" s="89"/>
      <c r="C24" s="39">
        <v>6.8070000000000004</v>
      </c>
      <c r="D24" s="39">
        <v>3.5419999999999998</v>
      </c>
      <c r="E24" s="44">
        <v>5.0599999999999996</v>
      </c>
      <c r="F24" s="50">
        <v>5.069</v>
      </c>
      <c r="G24" s="39">
        <v>4.7110000000000003</v>
      </c>
      <c r="H24" s="51">
        <v>2.5310000000000001</v>
      </c>
      <c r="I24" s="58">
        <v>7.3049999999999997</v>
      </c>
      <c r="J24" s="39">
        <v>6.8609999999999998</v>
      </c>
      <c r="K24" s="59">
        <v>8.15</v>
      </c>
      <c r="L24" s="79"/>
      <c r="M24" s="76"/>
    </row>
    <row r="25" spans="1:13" x14ac:dyDescent="0.2">
      <c r="A25" s="20" t="s">
        <v>28</v>
      </c>
      <c r="B25" s="89"/>
      <c r="C25" s="39">
        <v>7.641</v>
      </c>
      <c r="D25" s="39">
        <v>5.2949999999999999</v>
      </c>
      <c r="E25" s="44">
        <v>6.5720000000000001</v>
      </c>
      <c r="F25" s="50">
        <v>5.2539999999999996</v>
      </c>
      <c r="G25" s="39">
        <v>5.5750000000000002</v>
      </c>
      <c r="H25" s="51">
        <v>4.8159999999999998</v>
      </c>
      <c r="I25" s="58">
        <v>7.8319999999999999</v>
      </c>
      <c r="J25" s="39">
        <v>8.7360000000000007</v>
      </c>
      <c r="K25" s="59">
        <v>7.9029999999999996</v>
      </c>
      <c r="L25" s="79"/>
      <c r="M25" s="76"/>
    </row>
    <row r="26" spans="1:13" x14ac:dyDescent="0.2">
      <c r="A26" s="20" t="s">
        <v>29</v>
      </c>
      <c r="B26" s="89"/>
      <c r="C26" s="39">
        <v>7.5730000000000004</v>
      </c>
      <c r="D26" s="39">
        <v>5.3079999999999998</v>
      </c>
      <c r="E26" s="44">
        <v>6.58</v>
      </c>
      <c r="F26" s="50">
        <v>5.51</v>
      </c>
      <c r="G26" s="39">
        <v>6.8780000000000001</v>
      </c>
      <c r="H26" s="51">
        <v>6.0810000000000004</v>
      </c>
      <c r="I26" s="58">
        <v>7.3890000000000002</v>
      </c>
      <c r="J26" s="39">
        <v>9.0860000000000003</v>
      </c>
      <c r="K26" s="59">
        <v>7.9880000000000004</v>
      </c>
      <c r="L26" s="79"/>
      <c r="M26" s="76"/>
    </row>
    <row r="27" spans="1:13" x14ac:dyDescent="0.2">
      <c r="A27" s="20" t="s">
        <v>30</v>
      </c>
      <c r="B27" s="89"/>
      <c r="C27" s="39">
        <v>2.0819999999999999</v>
      </c>
      <c r="D27" s="39">
        <v>3.7509999999999999</v>
      </c>
      <c r="E27" s="44">
        <v>6.8170000000000002</v>
      </c>
      <c r="F27" s="50">
        <v>5.9180000000000001</v>
      </c>
      <c r="G27" s="39">
        <v>7.1459999999999999</v>
      </c>
      <c r="H27" s="51">
        <v>4.6520000000000001</v>
      </c>
      <c r="I27" s="58">
        <v>5.17</v>
      </c>
      <c r="J27" s="39">
        <v>5.694</v>
      </c>
      <c r="K27" s="59">
        <v>8.0760000000000005</v>
      </c>
      <c r="L27" s="79"/>
      <c r="M27" s="76"/>
    </row>
    <row r="28" spans="1:13" x14ac:dyDescent="0.2">
      <c r="A28" s="20" t="s">
        <v>31</v>
      </c>
      <c r="B28" s="89"/>
      <c r="C28" s="39">
        <v>6.5910000000000002</v>
      </c>
      <c r="D28" s="39">
        <v>4.9390000000000001</v>
      </c>
      <c r="E28" s="44">
        <v>4.3109999999999999</v>
      </c>
      <c r="F28" s="50">
        <v>4.5720000000000001</v>
      </c>
      <c r="G28" s="39">
        <v>5.9539999999999997</v>
      </c>
      <c r="H28" s="51">
        <v>2.9540000000000002</v>
      </c>
      <c r="I28" s="58">
        <v>5.1459999999999999</v>
      </c>
      <c r="J28" s="39">
        <v>2.4740000000000002</v>
      </c>
      <c r="K28" s="59">
        <v>8.3510000000000009</v>
      </c>
      <c r="L28" s="79"/>
      <c r="M28" s="76"/>
    </row>
    <row r="29" spans="1:13" x14ac:dyDescent="0.2">
      <c r="A29" s="20" t="s">
        <v>32</v>
      </c>
      <c r="B29" s="90"/>
      <c r="C29" s="40">
        <v>8.093</v>
      </c>
      <c r="D29" s="40">
        <v>3.738</v>
      </c>
      <c r="E29" s="45">
        <v>4.6959999999999997</v>
      </c>
      <c r="F29" s="52">
        <v>4.66</v>
      </c>
      <c r="G29" s="40">
        <v>6.9020000000000001</v>
      </c>
      <c r="H29" s="53">
        <v>3.855</v>
      </c>
      <c r="I29" s="60">
        <v>4.0839999999999996</v>
      </c>
      <c r="J29" s="40">
        <v>8.0329999999999995</v>
      </c>
      <c r="K29" s="61">
        <v>7.8170000000000002</v>
      </c>
      <c r="L29" s="80"/>
      <c r="M29" s="77"/>
    </row>
    <row r="30" spans="1:13" x14ac:dyDescent="0.2">
      <c r="A30" s="20" t="s">
        <v>25</v>
      </c>
      <c r="B30" s="88" t="s">
        <v>236</v>
      </c>
      <c r="C30" s="38">
        <v>6.22</v>
      </c>
      <c r="D30" s="38">
        <v>6.1260000000000003</v>
      </c>
      <c r="E30" s="43">
        <v>5.9390000000000001</v>
      </c>
      <c r="F30" s="48"/>
      <c r="G30" s="38"/>
      <c r="H30" s="49"/>
      <c r="I30" s="56"/>
      <c r="J30" s="38"/>
      <c r="K30" s="57"/>
      <c r="L30" s="78" t="s">
        <v>237</v>
      </c>
      <c r="M30" s="72" t="s">
        <v>86</v>
      </c>
    </row>
    <row r="31" spans="1:13" x14ac:dyDescent="0.2">
      <c r="A31" s="20" t="s">
        <v>26</v>
      </c>
      <c r="B31" s="89"/>
      <c r="C31" s="39">
        <v>6.7480000000000002</v>
      </c>
      <c r="D31" s="39">
        <v>5.3140000000000001</v>
      </c>
      <c r="E31" s="44">
        <v>6.1050000000000004</v>
      </c>
      <c r="F31" s="50"/>
      <c r="G31" s="39"/>
      <c r="H31" s="51"/>
      <c r="I31" s="58"/>
      <c r="J31" s="39"/>
      <c r="K31" s="59"/>
      <c r="L31" s="79"/>
      <c r="M31" s="73"/>
    </row>
    <row r="32" spans="1:13" x14ac:dyDescent="0.2">
      <c r="A32" s="20" t="s">
        <v>27</v>
      </c>
      <c r="B32" s="89"/>
      <c r="C32" s="39">
        <v>6.6219999999999999</v>
      </c>
      <c r="D32" s="39">
        <v>5.9249999999999998</v>
      </c>
      <c r="E32" s="44">
        <v>6.351</v>
      </c>
      <c r="F32" s="50"/>
      <c r="G32" s="39"/>
      <c r="H32" s="51"/>
      <c r="I32" s="58"/>
      <c r="J32" s="39"/>
      <c r="K32" s="59"/>
      <c r="L32" s="79"/>
      <c r="M32" s="73"/>
    </row>
    <row r="33" spans="1:13" x14ac:dyDescent="0.2">
      <c r="A33" s="20" t="s">
        <v>28</v>
      </c>
      <c r="B33" s="89"/>
      <c r="C33" s="39">
        <v>6.7270000000000003</v>
      </c>
      <c r="D33" s="39">
        <v>5.6139999999999999</v>
      </c>
      <c r="E33" s="44">
        <v>6.3129999999999997</v>
      </c>
      <c r="F33" s="50"/>
      <c r="G33" s="39"/>
      <c r="H33" s="51"/>
      <c r="I33" s="58"/>
      <c r="J33" s="39"/>
      <c r="K33" s="59"/>
      <c r="L33" s="79"/>
      <c r="M33" s="73"/>
    </row>
    <row r="34" spans="1:13" x14ac:dyDescent="0.2">
      <c r="A34" s="20" t="s">
        <v>29</v>
      </c>
      <c r="B34" s="89"/>
      <c r="C34" s="39">
        <v>6.5119999999999996</v>
      </c>
      <c r="D34" s="39">
        <v>6.242</v>
      </c>
      <c r="E34" s="44">
        <v>6.5609999999999999</v>
      </c>
      <c r="F34" s="50"/>
      <c r="G34" s="39"/>
      <c r="H34" s="51"/>
      <c r="I34" s="58"/>
      <c r="J34" s="39"/>
      <c r="K34" s="59"/>
      <c r="L34" s="79"/>
      <c r="M34" s="73"/>
    </row>
    <row r="35" spans="1:13" x14ac:dyDescent="0.2">
      <c r="A35" s="20" t="s">
        <v>30</v>
      </c>
      <c r="B35" s="89"/>
      <c r="C35" s="39">
        <v>7.0990000000000002</v>
      </c>
      <c r="D35" s="39">
        <v>5.9960000000000004</v>
      </c>
      <c r="E35" s="44">
        <v>5.5880000000000001</v>
      </c>
      <c r="F35" s="50"/>
      <c r="G35" s="39"/>
      <c r="H35" s="51"/>
      <c r="I35" s="58"/>
      <c r="J35" s="39"/>
      <c r="K35" s="59"/>
      <c r="L35" s="79"/>
      <c r="M35" s="73"/>
    </row>
    <row r="36" spans="1:13" x14ac:dyDescent="0.2">
      <c r="A36" s="20" t="s">
        <v>31</v>
      </c>
      <c r="B36" s="89"/>
      <c r="C36" s="39">
        <v>6.9089999999999998</v>
      </c>
      <c r="D36" s="39">
        <v>6.2489999999999997</v>
      </c>
      <c r="E36" s="44">
        <v>5.5910000000000002</v>
      </c>
      <c r="F36" s="50"/>
      <c r="G36" s="39"/>
      <c r="H36" s="51"/>
      <c r="I36" s="58"/>
      <c r="J36" s="39"/>
      <c r="K36" s="59"/>
      <c r="L36" s="79"/>
      <c r="M36" s="73"/>
    </row>
    <row r="37" spans="1:13" x14ac:dyDescent="0.2">
      <c r="A37" s="20" t="s">
        <v>32</v>
      </c>
      <c r="B37" s="90"/>
      <c r="C37" s="40">
        <v>7.9059999999999997</v>
      </c>
      <c r="D37" s="40">
        <v>7.92</v>
      </c>
      <c r="E37" s="45">
        <v>8.0609999999999999</v>
      </c>
      <c r="F37" s="52"/>
      <c r="G37" s="40"/>
      <c r="H37" s="53"/>
      <c r="I37" s="60"/>
      <c r="J37" s="40"/>
      <c r="K37" s="61"/>
      <c r="L37" s="80"/>
      <c r="M37" s="74"/>
    </row>
    <row r="38" spans="1:13" x14ac:dyDescent="0.2">
      <c r="A38" s="20" t="s">
        <v>25</v>
      </c>
      <c r="B38" s="88" t="s">
        <v>236</v>
      </c>
      <c r="C38" s="38"/>
      <c r="D38" s="38"/>
      <c r="E38" s="43"/>
      <c r="F38" s="48"/>
      <c r="G38" s="38"/>
      <c r="H38" s="49"/>
      <c r="I38" s="56"/>
      <c r="J38" s="38"/>
      <c r="K38" s="57"/>
      <c r="L38" s="78" t="s">
        <v>237</v>
      </c>
      <c r="M38" s="93" t="s">
        <v>231</v>
      </c>
    </row>
    <row r="39" spans="1:13" x14ac:dyDescent="0.2">
      <c r="A39" s="20" t="s">
        <v>26</v>
      </c>
      <c r="B39" s="89"/>
      <c r="C39" s="39"/>
      <c r="D39" s="39"/>
      <c r="E39" s="44"/>
      <c r="F39" s="50"/>
      <c r="G39" s="39"/>
      <c r="H39" s="51"/>
      <c r="I39" s="58"/>
      <c r="J39" s="39"/>
      <c r="K39" s="59"/>
      <c r="L39" s="79"/>
      <c r="M39" s="94"/>
    </row>
    <row r="40" spans="1:13" x14ac:dyDescent="0.2">
      <c r="A40" s="20" t="s">
        <v>27</v>
      </c>
      <c r="B40" s="89"/>
      <c r="C40" s="39"/>
      <c r="D40" s="39"/>
      <c r="E40" s="44"/>
      <c r="F40" s="50"/>
      <c r="G40" s="39"/>
      <c r="H40" s="51"/>
      <c r="I40" s="58"/>
      <c r="J40" s="39"/>
      <c r="K40" s="59"/>
      <c r="L40" s="79"/>
      <c r="M40" s="94"/>
    </row>
    <row r="41" spans="1:13" x14ac:dyDescent="0.2">
      <c r="A41" s="20" t="s">
        <v>28</v>
      </c>
      <c r="B41" s="89"/>
      <c r="C41" s="39"/>
      <c r="D41" s="39"/>
      <c r="E41" s="44"/>
      <c r="F41" s="50"/>
      <c r="G41" s="39"/>
      <c r="H41" s="51"/>
      <c r="I41" s="58"/>
      <c r="J41" s="39"/>
      <c r="K41" s="59"/>
      <c r="L41" s="79"/>
      <c r="M41" s="94"/>
    </row>
    <row r="42" spans="1:13" x14ac:dyDescent="0.2">
      <c r="A42" s="20" t="s">
        <v>29</v>
      </c>
      <c r="B42" s="89"/>
      <c r="C42" s="39"/>
      <c r="D42" s="39"/>
      <c r="E42" s="44"/>
      <c r="F42" s="50"/>
      <c r="G42" s="39"/>
      <c r="H42" s="51"/>
      <c r="I42" s="58"/>
      <c r="J42" s="39"/>
      <c r="K42" s="59"/>
      <c r="L42" s="79"/>
      <c r="M42" s="94"/>
    </row>
    <row r="43" spans="1:13" x14ac:dyDescent="0.2">
      <c r="A43" s="20" t="s">
        <v>30</v>
      </c>
      <c r="B43" s="89"/>
      <c r="C43" s="39"/>
      <c r="D43" s="39"/>
      <c r="E43" s="44"/>
      <c r="F43" s="50"/>
      <c r="G43" s="39"/>
      <c r="H43" s="51"/>
      <c r="I43" s="58"/>
      <c r="J43" s="39"/>
      <c r="K43" s="59"/>
      <c r="L43" s="79"/>
      <c r="M43" s="94"/>
    </row>
    <row r="44" spans="1:13" x14ac:dyDescent="0.2">
      <c r="A44" s="20" t="s">
        <v>31</v>
      </c>
      <c r="B44" s="89"/>
      <c r="C44" s="39"/>
      <c r="D44" s="39"/>
      <c r="E44" s="44"/>
      <c r="F44" s="50"/>
      <c r="G44" s="39"/>
      <c r="H44" s="51"/>
      <c r="I44" s="58"/>
      <c r="J44" s="39"/>
      <c r="K44" s="59"/>
      <c r="L44" s="79"/>
      <c r="M44" s="94"/>
    </row>
    <row r="45" spans="1:13" x14ac:dyDescent="0.2">
      <c r="A45" s="20" t="s">
        <v>32</v>
      </c>
      <c r="B45" s="90"/>
      <c r="C45" s="40"/>
      <c r="D45" s="40"/>
      <c r="E45" s="45"/>
      <c r="F45" s="52"/>
      <c r="G45" s="40"/>
      <c r="H45" s="53"/>
      <c r="I45" s="60"/>
      <c r="J45" s="40"/>
      <c r="K45" s="61"/>
      <c r="L45" s="80"/>
      <c r="M45" s="95"/>
    </row>
    <row r="46" spans="1:13" x14ac:dyDescent="0.2">
      <c r="A46" s="20" t="s">
        <v>25</v>
      </c>
      <c r="B46" s="88" t="s">
        <v>236</v>
      </c>
      <c r="C46" s="38"/>
      <c r="D46" s="38"/>
      <c r="E46" s="43"/>
      <c r="F46" s="48"/>
      <c r="G46" s="38"/>
      <c r="H46" s="49"/>
      <c r="I46" s="56"/>
      <c r="J46" s="38"/>
      <c r="K46" s="57"/>
      <c r="L46" s="78" t="s">
        <v>237</v>
      </c>
      <c r="M46" s="96" t="s">
        <v>232</v>
      </c>
    </row>
    <row r="47" spans="1:13" x14ac:dyDescent="0.2">
      <c r="A47" s="20" t="s">
        <v>26</v>
      </c>
      <c r="B47" s="89"/>
      <c r="C47" s="39"/>
      <c r="D47" s="39"/>
      <c r="E47" s="44"/>
      <c r="F47" s="50"/>
      <c r="G47" s="39"/>
      <c r="H47" s="51"/>
      <c r="I47" s="58"/>
      <c r="J47" s="39"/>
      <c r="K47" s="59"/>
      <c r="L47" s="79"/>
      <c r="M47" s="97"/>
    </row>
    <row r="48" spans="1:13" x14ac:dyDescent="0.2">
      <c r="A48" s="20" t="s">
        <v>27</v>
      </c>
      <c r="B48" s="89"/>
      <c r="C48" s="39"/>
      <c r="D48" s="39"/>
      <c r="E48" s="44"/>
      <c r="F48" s="50"/>
      <c r="G48" s="39"/>
      <c r="H48" s="51"/>
      <c r="I48" s="58"/>
      <c r="J48" s="39"/>
      <c r="K48" s="59"/>
      <c r="L48" s="79"/>
      <c r="M48" s="97"/>
    </row>
    <row r="49" spans="1:13" x14ac:dyDescent="0.2">
      <c r="A49" s="20" t="s">
        <v>28</v>
      </c>
      <c r="B49" s="89"/>
      <c r="C49" s="39"/>
      <c r="D49" s="39"/>
      <c r="E49" s="44"/>
      <c r="F49" s="50"/>
      <c r="G49" s="39"/>
      <c r="H49" s="51"/>
      <c r="I49" s="58"/>
      <c r="J49" s="39"/>
      <c r="K49" s="59"/>
      <c r="L49" s="79"/>
      <c r="M49" s="97"/>
    </row>
    <row r="50" spans="1:13" x14ac:dyDescent="0.2">
      <c r="A50" s="20" t="s">
        <v>29</v>
      </c>
      <c r="B50" s="89"/>
      <c r="C50" s="39"/>
      <c r="D50" s="39"/>
      <c r="E50" s="44"/>
      <c r="F50" s="50"/>
      <c r="G50" s="39"/>
      <c r="H50" s="51"/>
      <c r="I50" s="58"/>
      <c r="J50" s="39"/>
      <c r="K50" s="59"/>
      <c r="L50" s="79"/>
      <c r="M50" s="97"/>
    </row>
    <row r="51" spans="1:13" x14ac:dyDescent="0.2">
      <c r="A51" s="20" t="s">
        <v>30</v>
      </c>
      <c r="B51" s="89"/>
      <c r="C51" s="39"/>
      <c r="D51" s="39"/>
      <c r="E51" s="44"/>
      <c r="F51" s="50"/>
      <c r="G51" s="39"/>
      <c r="H51" s="51"/>
      <c r="I51" s="58"/>
      <c r="J51" s="39"/>
      <c r="K51" s="59"/>
      <c r="L51" s="79"/>
      <c r="M51" s="97"/>
    </row>
    <row r="52" spans="1:13" x14ac:dyDescent="0.2">
      <c r="A52" s="20" t="s">
        <v>31</v>
      </c>
      <c r="B52" s="89"/>
      <c r="C52" s="39"/>
      <c r="D52" s="39"/>
      <c r="E52" s="44"/>
      <c r="F52" s="50"/>
      <c r="G52" s="39"/>
      <c r="H52" s="51"/>
      <c r="I52" s="58"/>
      <c r="J52" s="39"/>
      <c r="K52" s="59"/>
      <c r="L52" s="79"/>
      <c r="M52" s="97"/>
    </row>
    <row r="53" spans="1:13" x14ac:dyDescent="0.2">
      <c r="A53" s="20" t="s">
        <v>32</v>
      </c>
      <c r="B53" s="90"/>
      <c r="C53" s="40"/>
      <c r="D53" s="40"/>
      <c r="E53" s="45"/>
      <c r="F53" s="52"/>
      <c r="G53" s="40"/>
      <c r="H53" s="53"/>
      <c r="I53" s="60"/>
      <c r="J53" s="40"/>
      <c r="K53" s="61"/>
      <c r="L53" s="80"/>
      <c r="M53" s="98"/>
    </row>
    <row r="54" spans="1:13" x14ac:dyDescent="0.2">
      <c r="A54" s="20" t="s">
        <v>25</v>
      </c>
      <c r="B54" s="88" t="s">
        <v>236</v>
      </c>
      <c r="C54" s="38"/>
      <c r="D54" s="38"/>
      <c r="E54" s="43"/>
      <c r="F54" s="48"/>
      <c r="G54" s="38"/>
      <c r="H54" s="49"/>
      <c r="I54" s="56"/>
      <c r="J54" s="38"/>
      <c r="K54" s="57"/>
      <c r="L54" s="78" t="s">
        <v>237</v>
      </c>
      <c r="M54" s="99" t="s">
        <v>233</v>
      </c>
    </row>
    <row r="55" spans="1:13" x14ac:dyDescent="0.2">
      <c r="A55" s="20" t="s">
        <v>26</v>
      </c>
      <c r="B55" s="89"/>
      <c r="C55" s="39"/>
      <c r="D55" s="39"/>
      <c r="E55" s="44"/>
      <c r="F55" s="50"/>
      <c r="G55" s="39"/>
      <c r="H55" s="51"/>
      <c r="I55" s="58"/>
      <c r="J55" s="39"/>
      <c r="K55" s="59"/>
      <c r="L55" s="79"/>
      <c r="M55" s="100"/>
    </row>
    <row r="56" spans="1:13" x14ac:dyDescent="0.2">
      <c r="A56" s="20" t="s">
        <v>27</v>
      </c>
      <c r="B56" s="89"/>
      <c r="C56" s="39"/>
      <c r="D56" s="39"/>
      <c r="E56" s="44"/>
      <c r="F56" s="50"/>
      <c r="G56" s="39"/>
      <c r="H56" s="51"/>
      <c r="I56" s="58"/>
      <c r="J56" s="39"/>
      <c r="K56" s="59"/>
      <c r="L56" s="79"/>
      <c r="M56" s="100"/>
    </row>
    <row r="57" spans="1:13" x14ac:dyDescent="0.2">
      <c r="A57" s="20" t="s">
        <v>28</v>
      </c>
      <c r="B57" s="89"/>
      <c r="C57" s="39"/>
      <c r="D57" s="39"/>
      <c r="E57" s="44"/>
      <c r="F57" s="50"/>
      <c r="G57" s="39"/>
      <c r="H57" s="51"/>
      <c r="I57" s="58"/>
      <c r="J57" s="39"/>
      <c r="K57" s="59"/>
      <c r="L57" s="79"/>
      <c r="M57" s="100"/>
    </row>
    <row r="58" spans="1:13" x14ac:dyDescent="0.2">
      <c r="A58" s="20" t="s">
        <v>29</v>
      </c>
      <c r="B58" s="89"/>
      <c r="C58" s="39"/>
      <c r="D58" s="39"/>
      <c r="E58" s="44"/>
      <c r="F58" s="50"/>
      <c r="G58" s="39"/>
      <c r="H58" s="51"/>
      <c r="I58" s="58"/>
      <c r="J58" s="39"/>
      <c r="K58" s="59"/>
      <c r="L58" s="79"/>
      <c r="M58" s="100"/>
    </row>
    <row r="59" spans="1:13" x14ac:dyDescent="0.2">
      <c r="A59" s="20" t="s">
        <v>30</v>
      </c>
      <c r="B59" s="89"/>
      <c r="C59" s="39"/>
      <c r="D59" s="39"/>
      <c r="E59" s="44"/>
      <c r="F59" s="50"/>
      <c r="G59" s="39"/>
      <c r="H59" s="51"/>
      <c r="I59" s="58"/>
      <c r="J59" s="39"/>
      <c r="K59" s="59"/>
      <c r="L59" s="79"/>
      <c r="M59" s="100"/>
    </row>
    <row r="60" spans="1:13" x14ac:dyDescent="0.2">
      <c r="A60" s="20" t="s">
        <v>31</v>
      </c>
      <c r="B60" s="89"/>
      <c r="C60" s="39"/>
      <c r="D60" s="39"/>
      <c r="E60" s="44"/>
      <c r="F60" s="50"/>
      <c r="G60" s="39"/>
      <c r="H60" s="51"/>
      <c r="I60" s="58"/>
      <c r="J60" s="39"/>
      <c r="K60" s="59"/>
      <c r="L60" s="79"/>
      <c r="M60" s="100"/>
    </row>
    <row r="61" spans="1:13" x14ac:dyDescent="0.2">
      <c r="A61" s="20" t="s">
        <v>32</v>
      </c>
      <c r="B61" s="90"/>
      <c r="C61" s="40"/>
      <c r="D61" s="40"/>
      <c r="E61" s="45"/>
      <c r="F61" s="52"/>
      <c r="G61" s="40"/>
      <c r="H61" s="53"/>
      <c r="I61" s="60"/>
      <c r="J61" s="40"/>
      <c r="K61" s="61"/>
      <c r="L61" s="80"/>
      <c r="M61" s="101"/>
    </row>
    <row r="62" spans="1:13" x14ac:dyDescent="0.2">
      <c r="A62" s="20" t="s">
        <v>25</v>
      </c>
      <c r="B62" s="88" t="s">
        <v>236</v>
      </c>
      <c r="C62" s="38"/>
      <c r="D62" s="38"/>
      <c r="E62" s="43"/>
      <c r="F62" s="48"/>
      <c r="G62" s="38"/>
      <c r="H62" s="49"/>
      <c r="I62" s="56"/>
      <c r="J62" s="38"/>
      <c r="K62" s="57"/>
      <c r="L62" s="78" t="s">
        <v>237</v>
      </c>
      <c r="M62" s="102" t="s">
        <v>234</v>
      </c>
    </row>
    <row r="63" spans="1:13" x14ac:dyDescent="0.2">
      <c r="A63" s="20" t="s">
        <v>26</v>
      </c>
      <c r="B63" s="89"/>
      <c r="C63" s="39"/>
      <c r="D63" s="39"/>
      <c r="E63" s="44"/>
      <c r="F63" s="50"/>
      <c r="G63" s="39"/>
      <c r="H63" s="51"/>
      <c r="I63" s="58"/>
      <c r="J63" s="39"/>
      <c r="K63" s="59"/>
      <c r="L63" s="79"/>
      <c r="M63" s="103"/>
    </row>
    <row r="64" spans="1:13" x14ac:dyDescent="0.2">
      <c r="A64" s="20" t="s">
        <v>27</v>
      </c>
      <c r="B64" s="89"/>
      <c r="C64" s="39"/>
      <c r="D64" s="39"/>
      <c r="E64" s="44"/>
      <c r="F64" s="50"/>
      <c r="G64" s="39"/>
      <c r="H64" s="51"/>
      <c r="I64" s="58"/>
      <c r="J64" s="39"/>
      <c r="K64" s="59"/>
      <c r="L64" s="79"/>
      <c r="M64" s="103"/>
    </row>
    <row r="65" spans="1:13" x14ac:dyDescent="0.2">
      <c r="A65" s="20" t="s">
        <v>28</v>
      </c>
      <c r="B65" s="89"/>
      <c r="C65" s="39"/>
      <c r="D65" s="39"/>
      <c r="E65" s="44"/>
      <c r="F65" s="50"/>
      <c r="G65" s="39"/>
      <c r="H65" s="51"/>
      <c r="I65" s="58"/>
      <c r="J65" s="39"/>
      <c r="K65" s="59"/>
      <c r="L65" s="79"/>
      <c r="M65" s="103"/>
    </row>
    <row r="66" spans="1:13" x14ac:dyDescent="0.2">
      <c r="A66" s="20" t="s">
        <v>29</v>
      </c>
      <c r="B66" s="89"/>
      <c r="C66" s="39"/>
      <c r="D66" s="39"/>
      <c r="E66" s="44"/>
      <c r="F66" s="50"/>
      <c r="G66" s="39"/>
      <c r="H66" s="51"/>
      <c r="I66" s="58"/>
      <c r="J66" s="39"/>
      <c r="K66" s="59"/>
      <c r="L66" s="79"/>
      <c r="M66" s="103"/>
    </row>
    <row r="67" spans="1:13" x14ac:dyDescent="0.2">
      <c r="A67" s="20" t="s">
        <v>30</v>
      </c>
      <c r="B67" s="89"/>
      <c r="C67" s="39"/>
      <c r="D67" s="39"/>
      <c r="E67" s="44"/>
      <c r="F67" s="50"/>
      <c r="G67" s="39"/>
      <c r="H67" s="51"/>
      <c r="I67" s="58"/>
      <c r="J67" s="39"/>
      <c r="K67" s="59"/>
      <c r="L67" s="79"/>
      <c r="M67" s="103"/>
    </row>
    <row r="68" spans="1:13" x14ac:dyDescent="0.2">
      <c r="A68" s="20" t="s">
        <v>31</v>
      </c>
      <c r="B68" s="89"/>
      <c r="C68" s="39"/>
      <c r="D68" s="39"/>
      <c r="E68" s="44"/>
      <c r="F68" s="50"/>
      <c r="G68" s="39"/>
      <c r="H68" s="51"/>
      <c r="I68" s="58"/>
      <c r="J68" s="39"/>
      <c r="K68" s="59"/>
      <c r="L68" s="79"/>
      <c r="M68" s="103"/>
    </row>
    <row r="69" spans="1:13" x14ac:dyDescent="0.2">
      <c r="A69" s="20" t="s">
        <v>32</v>
      </c>
      <c r="B69" s="90"/>
      <c r="C69" s="40"/>
      <c r="D69" s="40"/>
      <c r="E69" s="45"/>
      <c r="F69" s="52"/>
      <c r="G69" s="40"/>
      <c r="H69" s="53"/>
      <c r="I69" s="60"/>
      <c r="J69" s="40"/>
      <c r="K69" s="61"/>
      <c r="L69" s="80"/>
      <c r="M69" s="104"/>
    </row>
  </sheetData>
  <mergeCells count="29">
    <mergeCell ref="L38:L45"/>
    <mergeCell ref="L46:L53"/>
    <mergeCell ref="L54:L61"/>
    <mergeCell ref="L62:L69"/>
    <mergeCell ref="M38:M45"/>
    <mergeCell ref="M46:M53"/>
    <mergeCell ref="M54:M61"/>
    <mergeCell ref="M62:M69"/>
    <mergeCell ref="B38:B45"/>
    <mergeCell ref="B46:B53"/>
    <mergeCell ref="B54:B61"/>
    <mergeCell ref="B62:B69"/>
    <mergeCell ref="C4:E4"/>
    <mergeCell ref="B6:B13"/>
    <mergeCell ref="B14:B21"/>
    <mergeCell ref="B22:B29"/>
    <mergeCell ref="B30:B37"/>
    <mergeCell ref="A1:H1"/>
    <mergeCell ref="M6:M13"/>
    <mergeCell ref="M14:M21"/>
    <mergeCell ref="M30:M37"/>
    <mergeCell ref="M22:M29"/>
    <mergeCell ref="L6:L13"/>
    <mergeCell ref="L14:L21"/>
    <mergeCell ref="L22:L29"/>
    <mergeCell ref="L30:L37"/>
    <mergeCell ref="A2:M3"/>
    <mergeCell ref="F4:H4"/>
    <mergeCell ref="I4:K4"/>
  </mergeCells>
  <phoneticPr fontId="5" type="noConversion"/>
  <conditionalFormatting sqref="F70:F1048576">
    <cfRule type="cellIs" dxfId="22" priority="1" operator="lessThan">
      <formula>0</formula>
    </cfRule>
  </conditionalFormatting>
  <pageMargins left="0" right="0" top="0.3611111111111111" bottom="0.75" header="0.3" footer="0.3"/>
  <pageSetup orientation="landscape" horizontalDpi="4294967292" verticalDpi="4294967292" r:id="rId1"/>
  <headerFooter>
    <oddFooter>&amp;LFILEPATH:_x000D_Sheet:&amp;R&amp;Z&amp;F_x000D_&amp;A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hidecomments">
                <anchor moveWithCells="1" sizeWithCells="1">
                  <from>
                    <xdr:col>3</xdr:col>
                    <xdr:colOff>609600</xdr:colOff>
                    <xdr:row>0</xdr:row>
                    <xdr:rowOff>101600</xdr:rowOff>
                  </from>
                  <to>
                    <xdr:col>5</xdr:col>
                    <xdr:colOff>596900</xdr:colOff>
                    <xdr:row>0</xdr:row>
                    <xdr:rowOff>457200</xdr:rowOff>
                  </to>
                </anchor>
              </controlPr>
            </control>
          </mc:Choice>
          <mc:Fallback/>
        </mc:AlternateContent>
        <mc:AlternateContent xmlns:mc="http://schemas.openxmlformats.org/markup-compatibility/2006">
          <mc:Choice Requires="x14">
            <control shapeId="10242" r:id="rId5" name="Button 2">
              <controlPr defaultSize="0" print="0" autoFill="0" autoPict="0" macro="[0]!hideall">
                <anchor moveWithCells="1" sizeWithCells="1">
                  <from>
                    <xdr:col>6</xdr:col>
                    <xdr:colOff>114300</xdr:colOff>
                    <xdr:row>0</xdr:row>
                    <xdr:rowOff>101600</xdr:rowOff>
                  </from>
                  <to>
                    <xdr:col>7</xdr:col>
                    <xdr:colOff>406400</xdr:colOff>
                    <xdr:row>0</xdr:row>
                    <xdr:rowOff>457200</xdr:rowOff>
                  </to>
                </anchor>
              </controlPr>
            </control>
          </mc:Choice>
          <mc:Fallback/>
        </mc:AlternateContent>
      </controls>
    </mc:Choice>
    <mc:Fallback/>
  </mc:AlternateContent>
  <extLst>
    <ext xmlns:mx="http://schemas.microsoft.com/office/mac/excel/2008/main" uri="{64002731-A6B0-56B0-2670-7721B7C09600}">
      <mx:PLV Mode="1" OnePage="0" WScale="10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theme="9" tint="-0.249977111117893"/>
  </sheetPr>
  <dimension ref="A1:F363"/>
  <sheetViews>
    <sheetView showFormulas="1" view="pageLayout" workbookViewId="0">
      <selection activeCell="D371" sqref="D371"/>
    </sheetView>
  </sheetViews>
  <sheetFormatPr baseColWidth="10" defaultColWidth="11.1640625" defaultRowHeight="16" x14ac:dyDescent="0.2"/>
  <cols>
    <col min="1" max="1" width="22" customWidth="1"/>
    <col min="2" max="2" width="12.5" style="8" customWidth="1"/>
    <col min="3" max="3" width="25.5" customWidth="1"/>
    <col min="4" max="4" width="13.6640625" customWidth="1"/>
    <col min="5" max="5" width="19.1640625" customWidth="1"/>
    <col min="6" max="6" width="11.1640625" style="6"/>
  </cols>
  <sheetData>
    <row r="1" spans="1:6" ht="42" customHeight="1" x14ac:dyDescent="0.2">
      <c r="A1" s="21"/>
      <c r="B1" s="21"/>
      <c r="C1" s="107" t="s">
        <v>33</v>
      </c>
      <c r="D1" s="107"/>
    </row>
    <row r="2" spans="1:6" ht="31.25" customHeight="1" x14ac:dyDescent="0.2">
      <c r="A2" s="105" t="s">
        <v>82</v>
      </c>
      <c r="B2" s="106"/>
      <c r="C2" s="106"/>
      <c r="D2" s="106"/>
    </row>
    <row r="3" spans="1:6" s="7" customFormat="1" ht="46.25" customHeight="1" x14ac:dyDescent="0.2">
      <c r="A3" s="7" t="s">
        <v>0</v>
      </c>
      <c r="B3" s="7" t="s">
        <v>8</v>
      </c>
      <c r="C3" s="7" t="s">
        <v>238</v>
      </c>
      <c r="D3" s="7" t="s">
        <v>9</v>
      </c>
    </row>
    <row r="4" spans="1:6" x14ac:dyDescent="0.2">
      <c r="B4" s="8" t="s">
        <v>34</v>
      </c>
      <c r="C4">
        <f>'Picogreen Results'!C6</f>
        <v>3.181</v>
      </c>
      <c r="F4"/>
    </row>
    <row r="5" spans="1:6" x14ac:dyDescent="0.2">
      <c r="B5" s="8" t="s">
        <v>35</v>
      </c>
      <c r="C5">
        <f>'Picogreen Results'!C7</f>
        <v>1.4590000000000001</v>
      </c>
      <c r="F5"/>
    </row>
    <row r="6" spans="1:6" x14ac:dyDescent="0.2">
      <c r="B6" s="8" t="s">
        <v>36</v>
      </c>
      <c r="C6">
        <f>'Picogreen Results'!C8</f>
        <v>2.8730000000000002</v>
      </c>
      <c r="F6"/>
    </row>
    <row r="7" spans="1:6" x14ac:dyDescent="0.2">
      <c r="B7" s="8" t="s">
        <v>37</v>
      </c>
      <c r="C7">
        <f>'Picogreen Results'!C9</f>
        <v>3.8119999999999998</v>
      </c>
      <c r="F7"/>
    </row>
    <row r="8" spans="1:6" x14ac:dyDescent="0.2">
      <c r="B8" s="8" t="s">
        <v>38</v>
      </c>
      <c r="C8">
        <f>'Picogreen Results'!C10</f>
        <v>1.5029999999999999</v>
      </c>
      <c r="F8"/>
    </row>
    <row r="9" spans="1:6" x14ac:dyDescent="0.2">
      <c r="B9" s="8" t="s">
        <v>39</v>
      </c>
      <c r="C9">
        <f>'Picogreen Results'!C11</f>
        <v>1.2350000000000001</v>
      </c>
      <c r="F9"/>
    </row>
    <row r="10" spans="1:6" x14ac:dyDescent="0.2">
      <c r="B10" s="8" t="s">
        <v>40</v>
      </c>
      <c r="C10">
        <f>'Picogreen Results'!C12</f>
        <v>1.9450000000000001</v>
      </c>
      <c r="F10"/>
    </row>
    <row r="11" spans="1:6" x14ac:dyDescent="0.2">
      <c r="B11" s="8" t="s">
        <v>41</v>
      </c>
      <c r="C11">
        <f>'Picogreen Results'!C13</f>
        <v>3.081</v>
      </c>
      <c r="F11"/>
    </row>
    <row r="12" spans="1:6" x14ac:dyDescent="0.2">
      <c r="B12" s="8" t="s">
        <v>42</v>
      </c>
      <c r="C12">
        <f>'Picogreen Results'!D6</f>
        <v>2.7639999999999998</v>
      </c>
      <c r="F12"/>
    </row>
    <row r="13" spans="1:6" x14ac:dyDescent="0.2">
      <c r="B13" s="8" t="s">
        <v>43</v>
      </c>
      <c r="C13">
        <f>'Picogreen Results'!D7</f>
        <v>1.296</v>
      </c>
      <c r="F13"/>
    </row>
    <row r="14" spans="1:6" x14ac:dyDescent="0.2">
      <c r="B14" s="8" t="s">
        <v>44</v>
      </c>
      <c r="C14">
        <f>'Picogreen Results'!D8</f>
        <v>1.6879999999999999</v>
      </c>
      <c r="F14"/>
    </row>
    <row r="15" spans="1:6" x14ac:dyDescent="0.2">
      <c r="B15" s="8" t="s">
        <v>45</v>
      </c>
      <c r="C15">
        <f>'Picogreen Results'!D9</f>
        <v>2.0219999999999998</v>
      </c>
      <c r="F15"/>
    </row>
    <row r="16" spans="1:6" x14ac:dyDescent="0.2">
      <c r="B16" s="8" t="s">
        <v>46</v>
      </c>
      <c r="C16">
        <f>'Picogreen Results'!D10</f>
        <v>1.2410000000000001</v>
      </c>
      <c r="F16"/>
    </row>
    <row r="17" spans="2:6" x14ac:dyDescent="0.2">
      <c r="B17" s="8" t="s">
        <v>47</v>
      </c>
      <c r="C17">
        <f>'Picogreen Results'!D11</f>
        <v>1.58</v>
      </c>
      <c r="F17"/>
    </row>
    <row r="18" spans="2:6" x14ac:dyDescent="0.2">
      <c r="B18" s="8" t="s">
        <v>48</v>
      </c>
      <c r="C18">
        <f>'Picogreen Results'!D12</f>
        <v>1.8979999999999999</v>
      </c>
      <c r="F18"/>
    </row>
    <row r="19" spans="2:6" x14ac:dyDescent="0.2">
      <c r="B19" s="8" t="s">
        <v>49</v>
      </c>
      <c r="C19">
        <f>'Picogreen Results'!D13</f>
        <v>4.3410000000000002</v>
      </c>
      <c r="F19"/>
    </row>
    <row r="20" spans="2:6" x14ac:dyDescent="0.2">
      <c r="B20" s="8" t="s">
        <v>50</v>
      </c>
      <c r="C20">
        <f>'Picogreen Results'!E6</f>
        <v>1.6519999999999999</v>
      </c>
      <c r="F20"/>
    </row>
    <row r="21" spans="2:6" x14ac:dyDescent="0.2">
      <c r="B21" s="8" t="s">
        <v>51</v>
      </c>
      <c r="C21">
        <f>'Picogreen Results'!E7</f>
        <v>1.8819999999999999</v>
      </c>
      <c r="F21"/>
    </row>
    <row r="22" spans="2:6" x14ac:dyDescent="0.2">
      <c r="B22" s="8" t="s">
        <v>52</v>
      </c>
      <c r="C22">
        <f>'Picogreen Results'!E8</f>
        <v>2.85</v>
      </c>
      <c r="F22"/>
    </row>
    <row r="23" spans="2:6" x14ac:dyDescent="0.2">
      <c r="B23" s="8" t="s">
        <v>53</v>
      </c>
      <c r="C23">
        <f>'Picogreen Results'!E9</f>
        <v>4.0670000000000002</v>
      </c>
      <c r="F23"/>
    </row>
    <row r="24" spans="2:6" x14ac:dyDescent="0.2">
      <c r="B24" s="8" t="s">
        <v>54</v>
      </c>
      <c r="C24">
        <f>'Picogreen Results'!E10</f>
        <v>3.3220000000000001</v>
      </c>
      <c r="F24"/>
    </row>
    <row r="25" spans="2:6" x14ac:dyDescent="0.2">
      <c r="B25" s="8" t="s">
        <v>55</v>
      </c>
      <c r="C25">
        <f>'Picogreen Results'!E11</f>
        <v>2.0640000000000001</v>
      </c>
      <c r="F25"/>
    </row>
    <row r="26" spans="2:6" x14ac:dyDescent="0.2">
      <c r="B26" s="8" t="s">
        <v>56</v>
      </c>
      <c r="C26">
        <f>'Picogreen Results'!E12</f>
        <v>3.0920000000000001</v>
      </c>
      <c r="F26"/>
    </row>
    <row r="27" spans="2:6" x14ac:dyDescent="0.2">
      <c r="B27" s="8" t="s">
        <v>57</v>
      </c>
      <c r="C27">
        <f>'Picogreen Results'!E13</f>
        <v>4.1619999999999999</v>
      </c>
      <c r="F27"/>
    </row>
    <row r="28" spans="2:6" x14ac:dyDescent="0.2">
      <c r="B28" s="8" t="s">
        <v>58</v>
      </c>
      <c r="C28">
        <f>'Picogreen Results'!F6</f>
        <v>4.5209999999999999</v>
      </c>
      <c r="F28"/>
    </row>
    <row r="29" spans="2:6" x14ac:dyDescent="0.2">
      <c r="B29" s="8" t="s">
        <v>59</v>
      </c>
      <c r="C29">
        <f>'Picogreen Results'!F7</f>
        <v>3.129</v>
      </c>
      <c r="F29"/>
    </row>
    <row r="30" spans="2:6" x14ac:dyDescent="0.2">
      <c r="B30" s="8" t="s">
        <v>60</v>
      </c>
      <c r="C30">
        <f>'Picogreen Results'!F8</f>
        <v>4.9809999999999999</v>
      </c>
      <c r="F30"/>
    </row>
    <row r="31" spans="2:6" x14ac:dyDescent="0.2">
      <c r="B31" s="8" t="s">
        <v>61</v>
      </c>
      <c r="C31">
        <f>'Picogreen Results'!F9</f>
        <v>6.06</v>
      </c>
      <c r="F31"/>
    </row>
    <row r="32" spans="2:6" x14ac:dyDescent="0.2">
      <c r="B32" s="8" t="s">
        <v>62</v>
      </c>
      <c r="C32">
        <f>'Picogreen Results'!F10</f>
        <v>4.7300000000000004</v>
      </c>
      <c r="F32"/>
    </row>
    <row r="33" spans="1:6" x14ac:dyDescent="0.2">
      <c r="B33" s="8" t="s">
        <v>63</v>
      </c>
      <c r="C33">
        <f>'Picogreen Results'!F11</f>
        <v>3.9580000000000002</v>
      </c>
      <c r="F33"/>
    </row>
    <row r="34" spans="1:6" x14ac:dyDescent="0.2">
      <c r="B34" s="8" t="s">
        <v>64</v>
      </c>
      <c r="C34">
        <f>'Picogreen Results'!F12</f>
        <v>4.5650000000000004</v>
      </c>
      <c r="F34"/>
    </row>
    <row r="35" spans="1:6" x14ac:dyDescent="0.2">
      <c r="A35" s="2"/>
      <c r="B35" s="8" t="s">
        <v>65</v>
      </c>
      <c r="C35">
        <f>'Picogreen Results'!F13</f>
        <v>5.9409999999999998</v>
      </c>
      <c r="F35"/>
    </row>
    <row r="36" spans="1:6" x14ac:dyDescent="0.2">
      <c r="A36" s="2"/>
      <c r="B36" s="8" t="s">
        <v>66</v>
      </c>
      <c r="C36">
        <f>'Picogreen Results'!G6</f>
        <v>1.45</v>
      </c>
      <c r="F36"/>
    </row>
    <row r="37" spans="1:6" x14ac:dyDescent="0.2">
      <c r="B37" s="8" t="s">
        <v>67</v>
      </c>
      <c r="C37">
        <f>'Picogreen Results'!G7</f>
        <v>0.96499999999999997</v>
      </c>
      <c r="F37"/>
    </row>
    <row r="38" spans="1:6" x14ac:dyDescent="0.2">
      <c r="B38" s="8" t="s">
        <v>68</v>
      </c>
      <c r="C38">
        <f>'Picogreen Results'!G8</f>
        <v>1.4910000000000001</v>
      </c>
      <c r="F38"/>
    </row>
    <row r="39" spans="1:6" x14ac:dyDescent="0.2">
      <c r="B39" s="8" t="s">
        <v>69</v>
      </c>
      <c r="C39">
        <f>'Picogreen Results'!G9</f>
        <v>2.0499999999999998</v>
      </c>
      <c r="F39"/>
    </row>
    <row r="40" spans="1:6" x14ac:dyDescent="0.2">
      <c r="B40" s="8" t="s">
        <v>70</v>
      </c>
      <c r="C40">
        <f>'Picogreen Results'!G10</f>
        <v>2.6259999999999999</v>
      </c>
      <c r="F40"/>
    </row>
    <row r="41" spans="1:6" x14ac:dyDescent="0.2">
      <c r="B41" s="8" t="s">
        <v>71</v>
      </c>
      <c r="C41">
        <f>'Picogreen Results'!G11</f>
        <v>2.887</v>
      </c>
      <c r="F41"/>
    </row>
    <row r="42" spans="1:6" x14ac:dyDescent="0.2">
      <c r="A42" s="2"/>
      <c r="B42" s="8" t="s">
        <v>72</v>
      </c>
      <c r="C42">
        <f>'Picogreen Results'!G12</f>
        <v>3.121</v>
      </c>
      <c r="F42"/>
    </row>
    <row r="43" spans="1:6" x14ac:dyDescent="0.2">
      <c r="B43" s="8" t="s">
        <v>73</v>
      </c>
      <c r="C43">
        <f>'Picogreen Results'!G13</f>
        <v>5.9569999999999999</v>
      </c>
      <c r="F43"/>
    </row>
    <row r="44" spans="1:6" x14ac:dyDescent="0.2">
      <c r="B44" s="8" t="s">
        <v>74</v>
      </c>
      <c r="C44">
        <f>'Picogreen Results'!H6</f>
        <v>4.4770000000000003</v>
      </c>
      <c r="F44"/>
    </row>
    <row r="45" spans="1:6" x14ac:dyDescent="0.2">
      <c r="B45" s="8" t="s">
        <v>75</v>
      </c>
      <c r="C45">
        <f>'Picogreen Results'!H7</f>
        <v>3.262</v>
      </c>
      <c r="F45"/>
    </row>
    <row r="46" spans="1:6" x14ac:dyDescent="0.2">
      <c r="B46" s="8" t="s">
        <v>76</v>
      </c>
      <c r="C46">
        <f>'Picogreen Results'!H8</f>
        <v>3.2109999999999999</v>
      </c>
      <c r="F46"/>
    </row>
    <row r="47" spans="1:6" x14ac:dyDescent="0.2">
      <c r="B47" s="8" t="s">
        <v>77</v>
      </c>
      <c r="C47">
        <f>'Picogreen Results'!H9</f>
        <v>5.1159999999999997</v>
      </c>
      <c r="F47"/>
    </row>
    <row r="48" spans="1:6" x14ac:dyDescent="0.2">
      <c r="B48" s="8" t="s">
        <v>78</v>
      </c>
      <c r="C48">
        <f>'Picogreen Results'!H10</f>
        <v>5.681</v>
      </c>
      <c r="F48"/>
    </row>
    <row r="49" spans="1:6" x14ac:dyDescent="0.2">
      <c r="B49" s="8" t="s">
        <v>79</v>
      </c>
      <c r="C49">
        <f>'Picogreen Results'!H11</f>
        <v>4.5659999999999998</v>
      </c>
      <c r="F49"/>
    </row>
    <row r="50" spans="1:6" x14ac:dyDescent="0.2">
      <c r="B50" s="8" t="s">
        <v>80</v>
      </c>
      <c r="C50">
        <f>'Picogreen Results'!H12</f>
        <v>4.7750000000000004</v>
      </c>
      <c r="F50"/>
    </row>
    <row r="51" spans="1:6" x14ac:dyDescent="0.2">
      <c r="B51" s="8" t="s">
        <v>81</v>
      </c>
      <c r="C51">
        <f>'Picogreen Results'!H13</f>
        <v>5.9459999999999997</v>
      </c>
      <c r="F51"/>
    </row>
    <row r="52" spans="1:6" ht="15" customHeight="1" x14ac:dyDescent="0.2">
      <c r="A52" s="22"/>
      <c r="B52" s="23" t="s">
        <v>87</v>
      </c>
      <c r="C52">
        <f>'Picogreen Results'!I6</f>
        <v>5.9740000000000002</v>
      </c>
      <c r="F52"/>
    </row>
    <row r="53" spans="1:6" x14ac:dyDescent="0.2">
      <c r="A53" s="24"/>
      <c r="B53" s="25" t="s">
        <v>88</v>
      </c>
      <c r="C53">
        <f>'Picogreen Results'!I7</f>
        <v>6.157</v>
      </c>
      <c r="F53"/>
    </row>
    <row r="54" spans="1:6" x14ac:dyDescent="0.2">
      <c r="A54" s="22"/>
      <c r="B54" s="23" t="s">
        <v>89</v>
      </c>
      <c r="C54">
        <f>'Picogreen Results'!I8</f>
        <v>5.2619999999999996</v>
      </c>
      <c r="F54"/>
    </row>
    <row r="55" spans="1:6" x14ac:dyDescent="0.2">
      <c r="A55" s="24"/>
      <c r="B55" s="25" t="s">
        <v>90</v>
      </c>
      <c r="C55">
        <f>'Picogreen Results'!I9</f>
        <v>6.8970000000000002</v>
      </c>
      <c r="F55"/>
    </row>
    <row r="56" spans="1:6" x14ac:dyDescent="0.2">
      <c r="A56" s="22"/>
      <c r="B56" s="23" t="s">
        <v>91</v>
      </c>
      <c r="C56">
        <f>'Picogreen Results'!I10</f>
        <v>5.6639999999999997</v>
      </c>
      <c r="F56"/>
    </row>
    <row r="57" spans="1:6" x14ac:dyDescent="0.2">
      <c r="A57" s="24"/>
      <c r="B57" s="25" t="s">
        <v>92</v>
      </c>
      <c r="C57">
        <f>'Picogreen Results'!I11</f>
        <v>4.4530000000000003</v>
      </c>
      <c r="F57"/>
    </row>
    <row r="58" spans="1:6" x14ac:dyDescent="0.2">
      <c r="A58" s="22"/>
      <c r="B58" s="23" t="s">
        <v>93</v>
      </c>
      <c r="C58">
        <f>'Picogreen Results'!I12</f>
        <v>3.5790000000000002</v>
      </c>
      <c r="F58"/>
    </row>
    <row r="59" spans="1:6" x14ac:dyDescent="0.2">
      <c r="A59" s="24"/>
      <c r="B59" s="25" t="s">
        <v>94</v>
      </c>
      <c r="C59">
        <f>'Picogreen Results'!I13</f>
        <v>5.5670000000000002</v>
      </c>
      <c r="F59"/>
    </row>
    <row r="60" spans="1:6" ht="15" customHeight="1" x14ac:dyDescent="0.2">
      <c r="A60" s="22"/>
      <c r="B60" s="23" t="s">
        <v>95</v>
      </c>
      <c r="C60">
        <f>'Picogreen Results'!J6</f>
        <v>6.21</v>
      </c>
      <c r="F60"/>
    </row>
    <row r="61" spans="1:6" x14ac:dyDescent="0.2">
      <c r="A61" s="24"/>
      <c r="B61" s="25" t="s">
        <v>96</v>
      </c>
      <c r="C61">
        <f>'Picogreen Results'!J7</f>
        <v>4.3550000000000004</v>
      </c>
      <c r="F61"/>
    </row>
    <row r="62" spans="1:6" x14ac:dyDescent="0.2">
      <c r="A62" s="22"/>
      <c r="B62" s="23" t="s">
        <v>97</v>
      </c>
      <c r="C62">
        <f>'Picogreen Results'!J8</f>
        <v>4.7889999999999997</v>
      </c>
      <c r="F62"/>
    </row>
    <row r="63" spans="1:6" x14ac:dyDescent="0.2">
      <c r="A63" s="24"/>
      <c r="B63" s="25" t="s">
        <v>98</v>
      </c>
      <c r="C63">
        <f>'Picogreen Results'!J9</f>
        <v>6.157</v>
      </c>
      <c r="F63"/>
    </row>
    <row r="64" spans="1:6" x14ac:dyDescent="0.2">
      <c r="A64" s="22"/>
      <c r="B64" s="23" t="s">
        <v>99</v>
      </c>
      <c r="C64">
        <f>'Picogreen Results'!J10</f>
        <v>6.8630000000000004</v>
      </c>
      <c r="F64"/>
    </row>
    <row r="65" spans="1:6" x14ac:dyDescent="0.2">
      <c r="A65" s="24"/>
      <c r="B65" s="25" t="s">
        <v>100</v>
      </c>
      <c r="C65">
        <f>'Picogreen Results'!J11</f>
        <v>5.6920000000000002</v>
      </c>
      <c r="F65"/>
    </row>
    <row r="66" spans="1:6" x14ac:dyDescent="0.2">
      <c r="A66" s="22"/>
      <c r="B66" s="23" t="s">
        <v>101</v>
      </c>
      <c r="C66">
        <f>'Picogreen Results'!J12</f>
        <v>5.798</v>
      </c>
      <c r="F66"/>
    </row>
    <row r="67" spans="1:6" x14ac:dyDescent="0.2">
      <c r="A67" s="24"/>
      <c r="B67" s="25" t="s">
        <v>102</v>
      </c>
      <c r="C67">
        <f>'Picogreen Results'!J13</f>
        <v>6.359</v>
      </c>
      <c r="F67"/>
    </row>
    <row r="68" spans="1:6" ht="15" customHeight="1" x14ac:dyDescent="0.2">
      <c r="A68" s="22"/>
      <c r="B68" s="23" t="s">
        <v>103</v>
      </c>
      <c r="C68">
        <f>'Picogreen Results'!K6</f>
        <v>0.79700000000000004</v>
      </c>
      <c r="F68"/>
    </row>
    <row r="69" spans="1:6" x14ac:dyDescent="0.2">
      <c r="A69" s="24"/>
      <c r="B69" s="25" t="s">
        <v>104</v>
      </c>
      <c r="C69">
        <f>'Picogreen Results'!K7</f>
        <v>1.1579999999999999</v>
      </c>
      <c r="F69"/>
    </row>
    <row r="70" spans="1:6" x14ac:dyDescent="0.2">
      <c r="A70" s="22"/>
      <c r="B70" s="23" t="s">
        <v>105</v>
      </c>
      <c r="C70">
        <f>'Picogreen Results'!K8</f>
        <v>1.0840000000000001</v>
      </c>
      <c r="F70"/>
    </row>
    <row r="71" spans="1:6" x14ac:dyDescent="0.2">
      <c r="A71" s="24"/>
      <c r="B71" s="25" t="s">
        <v>106</v>
      </c>
      <c r="C71">
        <f>'Picogreen Results'!K9</f>
        <v>1.3149999999999999</v>
      </c>
      <c r="F71"/>
    </row>
    <row r="72" spans="1:6" x14ac:dyDescent="0.2">
      <c r="A72" s="22"/>
      <c r="B72" s="23" t="s">
        <v>107</v>
      </c>
      <c r="C72">
        <f>'Picogreen Results'!K10</f>
        <v>1.163</v>
      </c>
      <c r="F72"/>
    </row>
    <row r="73" spans="1:6" x14ac:dyDescent="0.2">
      <c r="A73" s="24"/>
      <c r="B73" s="25" t="s">
        <v>108</v>
      </c>
      <c r="C73">
        <f>'Picogreen Results'!K11</f>
        <v>1.157</v>
      </c>
      <c r="F73"/>
    </row>
    <row r="74" spans="1:6" x14ac:dyDescent="0.2">
      <c r="A74" s="22"/>
      <c r="B74" s="23" t="s">
        <v>109</v>
      </c>
      <c r="C74">
        <f>'Picogreen Results'!K12</f>
        <v>1.0309999999999999</v>
      </c>
      <c r="F74"/>
    </row>
    <row r="75" spans="1:6" x14ac:dyDescent="0.2">
      <c r="A75" s="24"/>
      <c r="B75" s="25" t="s">
        <v>110</v>
      </c>
      <c r="C75">
        <f>'Picogreen Results'!K13</f>
        <v>1.45</v>
      </c>
      <c r="F75"/>
    </row>
    <row r="76" spans="1:6" ht="15" customHeight="1" x14ac:dyDescent="0.2">
      <c r="A76" s="22"/>
      <c r="B76" s="23" t="s">
        <v>111</v>
      </c>
      <c r="C76">
        <f>'Picogreen Results'!C14</f>
        <v>6.4279999999999999</v>
      </c>
      <c r="F76"/>
    </row>
    <row r="77" spans="1:6" x14ac:dyDescent="0.2">
      <c r="A77" s="24"/>
      <c r="B77" s="25" t="s">
        <v>112</v>
      </c>
      <c r="C77">
        <f>'Picogreen Results'!C15</f>
        <v>4.3419999999999996</v>
      </c>
      <c r="F77"/>
    </row>
    <row r="78" spans="1:6" x14ac:dyDescent="0.2">
      <c r="A78" s="22"/>
      <c r="B78" s="23" t="s">
        <v>113</v>
      </c>
      <c r="C78">
        <f>'Picogreen Results'!C16</f>
        <v>4.0880000000000001</v>
      </c>
      <c r="F78"/>
    </row>
    <row r="79" spans="1:6" x14ac:dyDescent="0.2">
      <c r="A79" s="24"/>
      <c r="B79" s="25" t="s">
        <v>114</v>
      </c>
      <c r="C79">
        <f>'Picogreen Results'!C17</f>
        <v>5.4509999999999996</v>
      </c>
      <c r="F79"/>
    </row>
    <row r="80" spans="1:6" x14ac:dyDescent="0.2">
      <c r="A80" s="22"/>
      <c r="B80" s="23" t="s">
        <v>115</v>
      </c>
      <c r="C80">
        <f>'Picogreen Results'!C18</f>
        <v>5.2430000000000003</v>
      </c>
      <c r="F80"/>
    </row>
    <row r="81" spans="1:6" x14ac:dyDescent="0.2">
      <c r="A81" s="24"/>
      <c r="B81" s="25" t="s">
        <v>116</v>
      </c>
      <c r="C81">
        <f>'Picogreen Results'!C19</f>
        <v>4.49</v>
      </c>
      <c r="F81"/>
    </row>
    <row r="82" spans="1:6" x14ac:dyDescent="0.2">
      <c r="A82" s="22"/>
      <c r="B82" s="23" t="s">
        <v>117</v>
      </c>
      <c r="C82">
        <f>'Picogreen Results'!C20</f>
        <v>3.226</v>
      </c>
      <c r="F82"/>
    </row>
    <row r="83" spans="1:6" x14ac:dyDescent="0.2">
      <c r="A83" s="24"/>
      <c r="B83" s="25" t="s">
        <v>118</v>
      </c>
      <c r="C83">
        <f>'Picogreen Results'!C21</f>
        <v>4.5129999999999999</v>
      </c>
      <c r="F83"/>
    </row>
    <row r="84" spans="1:6" x14ac:dyDescent="0.2">
      <c r="A84" s="22"/>
      <c r="B84" s="23" t="s">
        <v>119</v>
      </c>
      <c r="C84">
        <f>'Picogreen Results'!D14</f>
        <v>4.8849999999999998</v>
      </c>
      <c r="F84"/>
    </row>
    <row r="85" spans="1:6" x14ac:dyDescent="0.2">
      <c r="A85" s="24"/>
      <c r="B85" s="25" t="s">
        <v>120</v>
      </c>
      <c r="C85">
        <f>'Picogreen Results'!D15</f>
        <v>2.9489999999999998</v>
      </c>
      <c r="F85"/>
    </row>
    <row r="86" spans="1:6" x14ac:dyDescent="0.2">
      <c r="A86" s="22"/>
      <c r="B86" s="23" t="s">
        <v>121</v>
      </c>
      <c r="C86">
        <f>'Picogreen Results'!D16</f>
        <v>2.3530000000000002</v>
      </c>
      <c r="F86"/>
    </row>
    <row r="87" spans="1:6" x14ac:dyDescent="0.2">
      <c r="A87" s="24"/>
      <c r="B87" s="25" t="s">
        <v>122</v>
      </c>
      <c r="C87">
        <f>'Picogreen Results'!D17</f>
        <v>1.905</v>
      </c>
      <c r="F87"/>
    </row>
    <row r="88" spans="1:6" x14ac:dyDescent="0.2">
      <c r="A88" s="22"/>
      <c r="B88" s="23" t="s">
        <v>123</v>
      </c>
      <c r="C88">
        <f>'Picogreen Results'!D18</f>
        <v>2.5190000000000001</v>
      </c>
      <c r="F88"/>
    </row>
    <row r="89" spans="1:6" x14ac:dyDescent="0.2">
      <c r="A89" s="24"/>
      <c r="B89" s="25" t="s">
        <v>124</v>
      </c>
      <c r="C89">
        <f>'Picogreen Results'!D19</f>
        <v>1.696</v>
      </c>
      <c r="F89"/>
    </row>
    <row r="90" spans="1:6" x14ac:dyDescent="0.2">
      <c r="A90" s="22"/>
      <c r="B90" s="23" t="s">
        <v>125</v>
      </c>
      <c r="C90">
        <f>'Picogreen Results'!D20</f>
        <v>0.872</v>
      </c>
      <c r="F90"/>
    </row>
    <row r="91" spans="1:6" x14ac:dyDescent="0.2">
      <c r="A91" s="24"/>
      <c r="B91" s="25" t="s">
        <v>126</v>
      </c>
      <c r="C91">
        <f>'Picogreen Results'!D21</f>
        <v>1.653</v>
      </c>
      <c r="F91"/>
    </row>
    <row r="92" spans="1:6" x14ac:dyDescent="0.2">
      <c r="A92" s="22"/>
      <c r="B92" s="23" t="s">
        <v>127</v>
      </c>
      <c r="C92" s="63">
        <f>'Picogreen Results'!E14</f>
        <v>1.4410000000000001</v>
      </c>
      <c r="F92"/>
    </row>
    <row r="93" spans="1:6" x14ac:dyDescent="0.2">
      <c r="A93" s="24"/>
      <c r="B93" s="25" t="s">
        <v>128</v>
      </c>
      <c r="C93" s="63">
        <f>'Picogreen Results'!E15</f>
        <v>3.3889999999999998</v>
      </c>
      <c r="F93"/>
    </row>
    <row r="94" spans="1:6" x14ac:dyDescent="0.2">
      <c r="A94" s="22"/>
      <c r="B94" s="23" t="s">
        <v>129</v>
      </c>
      <c r="C94" s="63">
        <f>'Picogreen Results'!E16</f>
        <v>2.4390000000000001</v>
      </c>
      <c r="F94"/>
    </row>
    <row r="95" spans="1:6" x14ac:dyDescent="0.2">
      <c r="A95" s="24"/>
      <c r="B95" s="25" t="s">
        <v>130</v>
      </c>
      <c r="C95" s="63">
        <f>'Picogreen Results'!E17</f>
        <v>2.5840000000000001</v>
      </c>
      <c r="F95"/>
    </row>
    <row r="96" spans="1:6" x14ac:dyDescent="0.2">
      <c r="A96" s="22"/>
      <c r="B96" s="23" t="s">
        <v>131</v>
      </c>
      <c r="C96" s="63">
        <f>'Picogreen Results'!E18</f>
        <v>2.1909999999999998</v>
      </c>
      <c r="F96"/>
    </row>
    <row r="97" spans="1:6" x14ac:dyDescent="0.2">
      <c r="A97" s="24"/>
      <c r="B97" s="25" t="s">
        <v>132</v>
      </c>
      <c r="C97" s="63">
        <f>'Picogreen Results'!E19</f>
        <v>1.623</v>
      </c>
      <c r="F97"/>
    </row>
    <row r="98" spans="1:6" x14ac:dyDescent="0.2">
      <c r="A98" s="22"/>
      <c r="B98" s="23" t="s">
        <v>133</v>
      </c>
      <c r="C98">
        <f>'Picogreen Results'!E20</f>
        <v>1.377</v>
      </c>
      <c r="F98"/>
    </row>
    <row r="99" spans="1:6" ht="17" thickBot="1" x14ac:dyDescent="0.25">
      <c r="A99" s="26"/>
      <c r="B99" s="27" t="s">
        <v>134</v>
      </c>
      <c r="C99">
        <f>'Picogreen Results'!E21</f>
        <v>1.7430000000000001</v>
      </c>
      <c r="F99"/>
    </row>
    <row r="100" spans="1:6" x14ac:dyDescent="0.2">
      <c r="A100" s="22"/>
      <c r="B100" s="23" t="s">
        <v>159</v>
      </c>
      <c r="C100">
        <f>'Picogreen Results'!F14</f>
        <v>6.0419999999999998</v>
      </c>
      <c r="F100"/>
    </row>
    <row r="101" spans="1:6" x14ac:dyDescent="0.2">
      <c r="A101" s="24"/>
      <c r="B101" s="25" t="s">
        <v>160</v>
      </c>
      <c r="C101">
        <f>'Picogreen Results'!F15</f>
        <v>5.4580000000000002</v>
      </c>
      <c r="F101"/>
    </row>
    <row r="102" spans="1:6" x14ac:dyDescent="0.2">
      <c r="A102" s="22"/>
      <c r="B102" s="23" t="s">
        <v>161</v>
      </c>
      <c r="C102">
        <f>'Picogreen Results'!F16</f>
        <v>5.9829999999999997</v>
      </c>
      <c r="F102"/>
    </row>
    <row r="103" spans="1:6" x14ac:dyDescent="0.2">
      <c r="A103" s="24"/>
      <c r="B103" s="25" t="s">
        <v>162</v>
      </c>
      <c r="C103">
        <f>'Picogreen Results'!F17</f>
        <v>6.9370000000000003</v>
      </c>
      <c r="F103"/>
    </row>
    <row r="104" spans="1:6" x14ac:dyDescent="0.2">
      <c r="A104" s="22"/>
      <c r="B104" s="23" t="s">
        <v>163</v>
      </c>
      <c r="C104">
        <f>'Picogreen Results'!F18</f>
        <v>7.5010000000000003</v>
      </c>
      <c r="F104"/>
    </row>
    <row r="105" spans="1:6" x14ac:dyDescent="0.2">
      <c r="A105" s="24"/>
      <c r="B105" s="25" t="s">
        <v>164</v>
      </c>
      <c r="C105">
        <f>'Picogreen Results'!F19</f>
        <v>5.8940000000000001</v>
      </c>
      <c r="F105"/>
    </row>
    <row r="106" spans="1:6" x14ac:dyDescent="0.2">
      <c r="A106" s="22"/>
      <c r="B106" s="23" t="s">
        <v>165</v>
      </c>
      <c r="C106">
        <f>'Picogreen Results'!F20</f>
        <v>5.617</v>
      </c>
      <c r="F106"/>
    </row>
    <row r="107" spans="1:6" x14ac:dyDescent="0.2">
      <c r="A107" s="24"/>
      <c r="B107" s="25" t="s">
        <v>166</v>
      </c>
      <c r="C107">
        <f>'Picogreen Results'!F21</f>
        <v>3.431</v>
      </c>
      <c r="F107"/>
    </row>
    <row r="108" spans="1:6" x14ac:dyDescent="0.2">
      <c r="A108" s="22"/>
      <c r="B108" s="23" t="s">
        <v>167</v>
      </c>
      <c r="C108">
        <f>'Picogreen Results'!G14</f>
        <v>6.9029999999999996</v>
      </c>
      <c r="F108"/>
    </row>
    <row r="109" spans="1:6" x14ac:dyDescent="0.2">
      <c r="A109" s="24"/>
      <c r="B109" s="25" t="s">
        <v>168</v>
      </c>
      <c r="C109">
        <f>'Picogreen Results'!G15</f>
        <v>5.0819999999999999</v>
      </c>
      <c r="F109"/>
    </row>
    <row r="110" spans="1:6" x14ac:dyDescent="0.2">
      <c r="A110" s="22"/>
      <c r="B110" s="23" t="s">
        <v>169</v>
      </c>
      <c r="C110">
        <f>'Picogreen Results'!G16</f>
        <v>5.8769999999999998</v>
      </c>
      <c r="F110"/>
    </row>
    <row r="111" spans="1:6" x14ac:dyDescent="0.2">
      <c r="A111" s="24"/>
      <c r="B111" s="25" t="s">
        <v>170</v>
      </c>
      <c r="C111">
        <f>'Picogreen Results'!G17</f>
        <v>5.915</v>
      </c>
      <c r="F111"/>
    </row>
    <row r="112" spans="1:6" x14ac:dyDescent="0.2">
      <c r="A112" s="22"/>
      <c r="B112" s="23" t="s">
        <v>171</v>
      </c>
      <c r="C112">
        <f>'Picogreen Results'!G18</f>
        <v>7.8520000000000003</v>
      </c>
      <c r="F112"/>
    </row>
    <row r="113" spans="1:6" x14ac:dyDescent="0.2">
      <c r="A113" s="24"/>
      <c r="B113" s="25" t="s">
        <v>172</v>
      </c>
      <c r="C113">
        <f>'Picogreen Results'!G19</f>
        <v>8.0180000000000007</v>
      </c>
      <c r="F113"/>
    </row>
    <row r="114" spans="1:6" x14ac:dyDescent="0.2">
      <c r="A114" s="22"/>
      <c r="B114" s="23" t="s">
        <v>173</v>
      </c>
      <c r="C114">
        <f>'Picogreen Results'!G20</f>
        <v>6.2279999999999998</v>
      </c>
      <c r="F114"/>
    </row>
    <row r="115" spans="1:6" x14ac:dyDescent="0.2">
      <c r="A115" s="24"/>
      <c r="B115" s="25" t="s">
        <v>174</v>
      </c>
      <c r="C115">
        <f>'Picogreen Results'!G21</f>
        <v>8.4109999999999996</v>
      </c>
      <c r="F115"/>
    </row>
    <row r="116" spans="1:6" x14ac:dyDescent="0.2">
      <c r="A116" s="22"/>
      <c r="B116" s="23" t="s">
        <v>175</v>
      </c>
      <c r="C116">
        <f>'Picogreen Results'!H14</f>
        <v>6.4820000000000002</v>
      </c>
      <c r="F116"/>
    </row>
    <row r="117" spans="1:6" x14ac:dyDescent="0.2">
      <c r="A117" s="24"/>
      <c r="B117" s="25" t="s">
        <v>176</v>
      </c>
      <c r="C117">
        <f>'Picogreen Results'!H15</f>
        <v>6.157</v>
      </c>
      <c r="F117"/>
    </row>
    <row r="118" spans="1:6" x14ac:dyDescent="0.2">
      <c r="A118" s="22"/>
      <c r="B118" s="23" t="s">
        <v>177</v>
      </c>
      <c r="C118">
        <f>'Picogreen Results'!H16</f>
        <v>6.1790000000000003</v>
      </c>
      <c r="F118"/>
    </row>
    <row r="119" spans="1:6" x14ac:dyDescent="0.2">
      <c r="A119" s="24"/>
      <c r="B119" s="25" t="s">
        <v>178</v>
      </c>
      <c r="C119">
        <f>'Picogreen Results'!H17</f>
        <v>7.5540000000000003</v>
      </c>
      <c r="F119"/>
    </row>
    <row r="120" spans="1:6" x14ac:dyDescent="0.2">
      <c r="A120" s="22"/>
      <c r="B120" s="23" t="s">
        <v>179</v>
      </c>
      <c r="C120">
        <f>'Picogreen Results'!H18</f>
        <v>7.726</v>
      </c>
      <c r="F120"/>
    </row>
    <row r="121" spans="1:6" x14ac:dyDescent="0.2">
      <c r="A121" s="24"/>
      <c r="B121" s="25" t="s">
        <v>180</v>
      </c>
      <c r="C121">
        <f>'Picogreen Results'!H19</f>
        <v>7.7910000000000004</v>
      </c>
      <c r="F121"/>
    </row>
    <row r="122" spans="1:6" x14ac:dyDescent="0.2">
      <c r="A122" s="22"/>
      <c r="B122" s="23" t="s">
        <v>181</v>
      </c>
      <c r="C122">
        <f>'Picogreen Results'!H20</f>
        <v>6.758</v>
      </c>
      <c r="F122"/>
    </row>
    <row r="123" spans="1:6" x14ac:dyDescent="0.2">
      <c r="A123" s="24"/>
      <c r="B123" s="25" t="s">
        <v>182</v>
      </c>
      <c r="C123">
        <f>'Picogreen Results'!H21</f>
        <v>7.649</v>
      </c>
      <c r="F123"/>
    </row>
    <row r="124" spans="1:6" x14ac:dyDescent="0.2">
      <c r="A124" s="22"/>
      <c r="B124" s="23" t="s">
        <v>135</v>
      </c>
      <c r="C124">
        <f>'Picogreen Results'!I14</f>
        <v>2.0499999999999998</v>
      </c>
      <c r="F124"/>
    </row>
    <row r="125" spans="1:6" x14ac:dyDescent="0.2">
      <c r="A125" s="24"/>
      <c r="B125" s="25" t="s">
        <v>136</v>
      </c>
      <c r="C125">
        <f>'Picogreen Results'!I15</f>
        <v>3.0179999999999998</v>
      </c>
      <c r="F125"/>
    </row>
    <row r="126" spans="1:6" x14ac:dyDescent="0.2">
      <c r="A126" s="22"/>
      <c r="B126" s="23" t="s">
        <v>137</v>
      </c>
      <c r="C126">
        <f>'Picogreen Results'!I16</f>
        <v>3.492</v>
      </c>
      <c r="F126"/>
    </row>
    <row r="127" spans="1:6" x14ac:dyDescent="0.2">
      <c r="A127" s="24"/>
      <c r="B127" s="25" t="s">
        <v>138</v>
      </c>
      <c r="C127">
        <f>'Picogreen Results'!I17</f>
        <v>5.19</v>
      </c>
      <c r="F127"/>
    </row>
    <row r="128" spans="1:6" x14ac:dyDescent="0.2">
      <c r="A128" s="22"/>
      <c r="B128" s="23" t="s">
        <v>139</v>
      </c>
      <c r="C128">
        <f>'Picogreen Results'!I18</f>
        <v>4.1180000000000003</v>
      </c>
      <c r="F128"/>
    </row>
    <row r="129" spans="1:6" x14ac:dyDescent="0.2">
      <c r="A129" s="24"/>
      <c r="B129" s="25" t="s">
        <v>140</v>
      </c>
      <c r="C129">
        <f>'Picogreen Results'!I19</f>
        <v>5.3419999999999996</v>
      </c>
      <c r="F129"/>
    </row>
    <row r="130" spans="1:6" x14ac:dyDescent="0.2">
      <c r="A130" s="22"/>
      <c r="B130" s="23" t="s">
        <v>141</v>
      </c>
      <c r="C130">
        <f>'Picogreen Results'!I20</f>
        <v>3.3170000000000002</v>
      </c>
      <c r="F130"/>
    </row>
    <row r="131" spans="1:6" x14ac:dyDescent="0.2">
      <c r="A131" s="24"/>
      <c r="B131" s="25" t="s">
        <v>142</v>
      </c>
      <c r="C131">
        <f>'Picogreen Results'!I21</f>
        <v>5.3529999999999998</v>
      </c>
      <c r="F131"/>
    </row>
    <row r="132" spans="1:6" x14ac:dyDescent="0.2">
      <c r="A132" s="22"/>
      <c r="B132" s="23" t="s">
        <v>143</v>
      </c>
      <c r="C132">
        <f>'Picogreen Results'!J14</f>
        <v>4.8719999999999999</v>
      </c>
      <c r="F132"/>
    </row>
    <row r="133" spans="1:6" x14ac:dyDescent="0.2">
      <c r="A133" s="24"/>
      <c r="B133" s="25" t="s">
        <v>144</v>
      </c>
      <c r="C133">
        <f>'Picogreen Results'!J15</f>
        <v>4.258</v>
      </c>
      <c r="F133"/>
    </row>
    <row r="134" spans="1:6" x14ac:dyDescent="0.2">
      <c r="A134" s="22"/>
      <c r="B134" s="23" t="s">
        <v>145</v>
      </c>
      <c r="C134">
        <f>'Picogreen Results'!J16</f>
        <v>4.0810000000000004</v>
      </c>
      <c r="F134"/>
    </row>
    <row r="135" spans="1:6" x14ac:dyDescent="0.2">
      <c r="A135" s="24"/>
      <c r="B135" s="25" t="s">
        <v>146</v>
      </c>
      <c r="C135">
        <f>'Picogreen Results'!J17</f>
        <v>4.7160000000000002</v>
      </c>
      <c r="F135"/>
    </row>
    <row r="136" spans="1:6" x14ac:dyDescent="0.2">
      <c r="A136" s="22"/>
      <c r="B136" s="23" t="s">
        <v>147</v>
      </c>
      <c r="C136">
        <f>'Picogreen Results'!J18</f>
        <v>8.5809999999999995</v>
      </c>
      <c r="F136"/>
    </row>
    <row r="137" spans="1:6" x14ac:dyDescent="0.2">
      <c r="A137" s="24"/>
      <c r="B137" s="25" t="s">
        <v>148</v>
      </c>
      <c r="C137">
        <f>'Picogreen Results'!J19</f>
        <v>7.2380000000000004</v>
      </c>
      <c r="F137"/>
    </row>
    <row r="138" spans="1:6" x14ac:dyDescent="0.2">
      <c r="A138" s="22"/>
      <c r="B138" s="23" t="s">
        <v>149</v>
      </c>
      <c r="C138">
        <f>'Picogreen Results'!J20</f>
        <v>6.4329999999999998</v>
      </c>
      <c r="F138"/>
    </row>
    <row r="139" spans="1:6" x14ac:dyDescent="0.2">
      <c r="A139" s="24"/>
      <c r="B139" s="25" t="s">
        <v>150</v>
      </c>
      <c r="C139">
        <f>'Picogreen Results'!J21</f>
        <v>7.3239999999999998</v>
      </c>
      <c r="F139"/>
    </row>
    <row r="140" spans="1:6" x14ac:dyDescent="0.2">
      <c r="A140" s="22"/>
      <c r="B140" s="23" t="s">
        <v>151</v>
      </c>
      <c r="C140">
        <f>'Picogreen Results'!K14</f>
        <v>2.875</v>
      </c>
      <c r="F140"/>
    </row>
    <row r="141" spans="1:6" x14ac:dyDescent="0.2">
      <c r="A141" s="24"/>
      <c r="B141" s="25" t="s">
        <v>152</v>
      </c>
      <c r="C141">
        <f>'Picogreen Results'!K15</f>
        <v>8.1509999999999998</v>
      </c>
      <c r="F141"/>
    </row>
    <row r="142" spans="1:6" x14ac:dyDescent="0.2">
      <c r="A142" s="22"/>
      <c r="B142" s="23" t="s">
        <v>153</v>
      </c>
      <c r="C142">
        <f>'Picogreen Results'!K16</f>
        <v>3.3639999999999999</v>
      </c>
      <c r="F142"/>
    </row>
    <row r="143" spans="1:6" x14ac:dyDescent="0.2">
      <c r="A143" s="24"/>
      <c r="B143" s="25" t="s">
        <v>154</v>
      </c>
      <c r="C143">
        <f>'Picogreen Results'!K17</f>
        <v>7.8129999999999997</v>
      </c>
      <c r="F143"/>
    </row>
    <row r="144" spans="1:6" x14ac:dyDescent="0.2">
      <c r="A144" s="22"/>
      <c r="B144" s="23" t="s">
        <v>155</v>
      </c>
      <c r="C144">
        <f>'Picogreen Results'!K18</f>
        <v>5.5030000000000001</v>
      </c>
      <c r="F144"/>
    </row>
    <row r="145" spans="1:6" x14ac:dyDescent="0.2">
      <c r="A145" s="24"/>
      <c r="B145" s="25" t="s">
        <v>156</v>
      </c>
      <c r="C145">
        <f>'Picogreen Results'!K19</f>
        <v>3.0369999999999999</v>
      </c>
      <c r="F145"/>
    </row>
    <row r="146" spans="1:6" x14ac:dyDescent="0.2">
      <c r="A146" s="22"/>
      <c r="B146" s="23" t="s">
        <v>157</v>
      </c>
      <c r="C146">
        <f>'Picogreen Results'!K20</f>
        <v>6.7220000000000004</v>
      </c>
      <c r="F146"/>
    </row>
    <row r="147" spans="1:6" ht="17" thickBot="1" x14ac:dyDescent="0.25">
      <c r="A147" s="26"/>
      <c r="B147" s="27" t="s">
        <v>158</v>
      </c>
      <c r="C147">
        <f>'Picogreen Results'!K21</f>
        <v>4.7859999999999996</v>
      </c>
      <c r="F147"/>
    </row>
    <row r="148" spans="1:6" x14ac:dyDescent="0.2">
      <c r="A148" s="22"/>
      <c r="B148" s="23" t="s">
        <v>183</v>
      </c>
      <c r="C148">
        <f>'Picogreen Results'!C22</f>
        <v>8.1310000000000002</v>
      </c>
      <c r="F148"/>
    </row>
    <row r="149" spans="1:6" x14ac:dyDescent="0.2">
      <c r="A149" s="24"/>
      <c r="B149" s="25" t="s">
        <v>184</v>
      </c>
      <c r="C149">
        <f>'Picogreen Results'!C23</f>
        <v>7.4219999999999997</v>
      </c>
      <c r="F149"/>
    </row>
    <row r="150" spans="1:6" x14ac:dyDescent="0.2">
      <c r="A150" s="22"/>
      <c r="B150" s="23" t="s">
        <v>185</v>
      </c>
      <c r="C150">
        <f>'Picogreen Results'!C24</f>
        <v>6.8070000000000004</v>
      </c>
      <c r="F150"/>
    </row>
    <row r="151" spans="1:6" x14ac:dyDescent="0.2">
      <c r="A151" s="24"/>
      <c r="B151" s="25" t="s">
        <v>186</v>
      </c>
      <c r="C151">
        <f>'Picogreen Results'!C25</f>
        <v>7.641</v>
      </c>
      <c r="F151"/>
    </row>
    <row r="152" spans="1:6" x14ac:dyDescent="0.2">
      <c r="A152" s="22"/>
      <c r="B152" s="23" t="s">
        <v>187</v>
      </c>
      <c r="C152">
        <f>'Picogreen Results'!C26</f>
        <v>7.5730000000000004</v>
      </c>
      <c r="F152"/>
    </row>
    <row r="153" spans="1:6" x14ac:dyDescent="0.2">
      <c r="A153" s="24"/>
      <c r="B153" s="25" t="s">
        <v>188</v>
      </c>
      <c r="C153">
        <f>'Picogreen Results'!C27</f>
        <v>2.0819999999999999</v>
      </c>
      <c r="F153"/>
    </row>
    <row r="154" spans="1:6" x14ac:dyDescent="0.2">
      <c r="A154" s="22"/>
      <c r="B154" s="23" t="s">
        <v>189</v>
      </c>
      <c r="C154">
        <f>'Picogreen Results'!C28</f>
        <v>6.5910000000000002</v>
      </c>
      <c r="F154"/>
    </row>
    <row r="155" spans="1:6" x14ac:dyDescent="0.2">
      <c r="A155" s="24"/>
      <c r="B155" s="25" t="s">
        <v>190</v>
      </c>
      <c r="C155">
        <f>'Picogreen Results'!C29</f>
        <v>8.093</v>
      </c>
      <c r="F155"/>
    </row>
    <row r="156" spans="1:6" x14ac:dyDescent="0.2">
      <c r="A156" s="22"/>
      <c r="B156" s="23" t="s">
        <v>191</v>
      </c>
      <c r="C156">
        <f>'Picogreen Results'!D22</f>
        <v>6.8140000000000001</v>
      </c>
      <c r="F156"/>
    </row>
    <row r="157" spans="1:6" x14ac:dyDescent="0.2">
      <c r="A157" s="24"/>
      <c r="B157" s="25" t="s">
        <v>192</v>
      </c>
      <c r="C157">
        <f>'Picogreen Results'!D23</f>
        <v>5.3929999999999998</v>
      </c>
      <c r="F157"/>
    </row>
    <row r="158" spans="1:6" x14ac:dyDescent="0.2">
      <c r="A158" s="22"/>
      <c r="B158" s="23" t="s">
        <v>193</v>
      </c>
      <c r="C158">
        <f>'Picogreen Results'!D24</f>
        <v>3.5419999999999998</v>
      </c>
      <c r="F158"/>
    </row>
    <row r="159" spans="1:6" x14ac:dyDescent="0.2">
      <c r="A159" s="24"/>
      <c r="B159" s="25" t="s">
        <v>194</v>
      </c>
      <c r="C159">
        <f>'Picogreen Results'!D25</f>
        <v>5.2949999999999999</v>
      </c>
      <c r="F159"/>
    </row>
    <row r="160" spans="1:6" x14ac:dyDescent="0.2">
      <c r="A160" s="22"/>
      <c r="B160" s="23" t="s">
        <v>195</v>
      </c>
      <c r="C160">
        <f>'Picogreen Results'!D26</f>
        <v>5.3079999999999998</v>
      </c>
      <c r="F160"/>
    </row>
    <row r="161" spans="1:6" x14ac:dyDescent="0.2">
      <c r="A161" s="24"/>
      <c r="B161" s="25" t="s">
        <v>196</v>
      </c>
      <c r="C161">
        <f>'Picogreen Results'!D27</f>
        <v>3.7509999999999999</v>
      </c>
      <c r="E161" s="6"/>
      <c r="F161"/>
    </row>
    <row r="162" spans="1:6" x14ac:dyDescent="0.2">
      <c r="A162" s="22"/>
      <c r="B162" s="23" t="s">
        <v>197</v>
      </c>
      <c r="C162">
        <f>'Picogreen Results'!D28</f>
        <v>4.9390000000000001</v>
      </c>
      <c r="E162" s="6"/>
      <c r="F162"/>
    </row>
    <row r="163" spans="1:6" x14ac:dyDescent="0.2">
      <c r="A163" s="24"/>
      <c r="B163" s="25" t="s">
        <v>198</v>
      </c>
      <c r="C163">
        <f>'Picogreen Results'!D29</f>
        <v>3.738</v>
      </c>
      <c r="E163" s="6"/>
      <c r="F163"/>
    </row>
    <row r="164" spans="1:6" x14ac:dyDescent="0.2">
      <c r="A164" s="22"/>
      <c r="B164" s="23" t="s">
        <v>199</v>
      </c>
      <c r="C164">
        <f>'Picogreen Results'!E22</f>
        <v>4.4059999999999997</v>
      </c>
      <c r="E164" s="6"/>
      <c r="F164"/>
    </row>
    <row r="165" spans="1:6" x14ac:dyDescent="0.2">
      <c r="A165" s="24"/>
      <c r="B165" s="25" t="s">
        <v>200</v>
      </c>
      <c r="C165">
        <f>'Picogreen Results'!E23</f>
        <v>5.5810000000000004</v>
      </c>
      <c r="E165" s="6"/>
      <c r="F165"/>
    </row>
    <row r="166" spans="1:6" x14ac:dyDescent="0.2">
      <c r="A166" s="22"/>
      <c r="B166" s="23" t="s">
        <v>201</v>
      </c>
      <c r="C166">
        <f>'Picogreen Results'!E24</f>
        <v>5.0599999999999996</v>
      </c>
      <c r="E166" s="6"/>
      <c r="F166"/>
    </row>
    <row r="167" spans="1:6" x14ac:dyDescent="0.2">
      <c r="A167" s="24"/>
      <c r="B167" s="25" t="s">
        <v>202</v>
      </c>
      <c r="C167">
        <f>'Picogreen Results'!E25</f>
        <v>6.5720000000000001</v>
      </c>
      <c r="E167" s="6"/>
      <c r="F167"/>
    </row>
    <row r="168" spans="1:6" x14ac:dyDescent="0.2">
      <c r="A168" s="22"/>
      <c r="B168" s="23" t="s">
        <v>203</v>
      </c>
      <c r="C168">
        <f>'Picogreen Results'!E26</f>
        <v>6.58</v>
      </c>
      <c r="E168" s="6"/>
      <c r="F168"/>
    </row>
    <row r="169" spans="1:6" x14ac:dyDescent="0.2">
      <c r="A169" s="24"/>
      <c r="B169" s="25" t="s">
        <v>204</v>
      </c>
      <c r="C169">
        <f>'Picogreen Results'!E27</f>
        <v>6.8170000000000002</v>
      </c>
      <c r="E169" s="6"/>
      <c r="F169"/>
    </row>
    <row r="170" spans="1:6" x14ac:dyDescent="0.2">
      <c r="A170" s="22"/>
      <c r="B170" s="23" t="s">
        <v>205</v>
      </c>
      <c r="C170">
        <f>'Picogreen Results'!E28</f>
        <v>4.3109999999999999</v>
      </c>
      <c r="E170" s="6"/>
      <c r="F170"/>
    </row>
    <row r="171" spans="1:6" x14ac:dyDescent="0.2">
      <c r="A171" s="24"/>
      <c r="B171" s="25" t="s">
        <v>206</v>
      </c>
      <c r="C171">
        <f>'Picogreen Results'!E29</f>
        <v>4.6959999999999997</v>
      </c>
      <c r="E171" s="6"/>
      <c r="F171"/>
    </row>
    <row r="172" spans="1:6" x14ac:dyDescent="0.2">
      <c r="A172" s="22"/>
      <c r="B172" s="23" t="s">
        <v>207</v>
      </c>
      <c r="C172">
        <f>'Picogreen Results'!F22</f>
        <v>6.5579999999999998</v>
      </c>
      <c r="E172" s="6"/>
      <c r="F172"/>
    </row>
    <row r="173" spans="1:6" x14ac:dyDescent="0.2">
      <c r="A173" s="24"/>
      <c r="B173" s="25" t="s">
        <v>208</v>
      </c>
      <c r="C173">
        <f>'Picogreen Results'!F23</f>
        <v>5.609</v>
      </c>
      <c r="E173" s="6"/>
      <c r="F173"/>
    </row>
    <row r="174" spans="1:6" x14ac:dyDescent="0.2">
      <c r="A174" s="22"/>
      <c r="B174" s="23" t="s">
        <v>209</v>
      </c>
      <c r="C174">
        <f>'Picogreen Results'!F24</f>
        <v>5.069</v>
      </c>
      <c r="E174" s="6"/>
      <c r="F174"/>
    </row>
    <row r="175" spans="1:6" x14ac:dyDescent="0.2">
      <c r="A175" s="24"/>
      <c r="B175" s="25" t="s">
        <v>210</v>
      </c>
      <c r="C175">
        <f>'Picogreen Results'!F25</f>
        <v>5.2539999999999996</v>
      </c>
      <c r="E175" s="6"/>
      <c r="F175"/>
    </row>
    <row r="176" spans="1:6" x14ac:dyDescent="0.2">
      <c r="A176" s="22"/>
      <c r="B176" s="23" t="s">
        <v>211</v>
      </c>
      <c r="C176">
        <f>'Picogreen Results'!F26</f>
        <v>5.51</v>
      </c>
      <c r="E176" s="6"/>
      <c r="F176"/>
    </row>
    <row r="177" spans="1:6" x14ac:dyDescent="0.2">
      <c r="A177" s="24"/>
      <c r="B177" s="25" t="s">
        <v>212</v>
      </c>
      <c r="C177">
        <f>'Picogreen Results'!F27</f>
        <v>5.9180000000000001</v>
      </c>
      <c r="E177" s="6"/>
      <c r="F177"/>
    </row>
    <row r="178" spans="1:6" x14ac:dyDescent="0.2">
      <c r="A178" s="22"/>
      <c r="B178" s="23" t="s">
        <v>213</v>
      </c>
      <c r="C178">
        <f>'Picogreen Results'!F28</f>
        <v>4.5720000000000001</v>
      </c>
      <c r="E178" s="6"/>
      <c r="F178"/>
    </row>
    <row r="179" spans="1:6" x14ac:dyDescent="0.2">
      <c r="A179" s="24"/>
      <c r="B179" s="25" t="s">
        <v>214</v>
      </c>
      <c r="C179">
        <f>'Picogreen Results'!F29</f>
        <v>4.66</v>
      </c>
      <c r="E179" s="6"/>
      <c r="F179"/>
    </row>
    <row r="180" spans="1:6" x14ac:dyDescent="0.2">
      <c r="A180" s="22"/>
      <c r="B180" s="23" t="s">
        <v>215</v>
      </c>
      <c r="C180">
        <f>'Picogreen Results'!G22</f>
        <v>3.7789999999999999</v>
      </c>
      <c r="E180" s="6"/>
      <c r="F180"/>
    </row>
    <row r="181" spans="1:6" x14ac:dyDescent="0.2">
      <c r="A181" s="24"/>
      <c r="B181" s="25" t="s">
        <v>216</v>
      </c>
      <c r="C181">
        <f>'Picogreen Results'!G23</f>
        <v>5.5709999999999997</v>
      </c>
      <c r="E181" s="6"/>
      <c r="F181"/>
    </row>
    <row r="182" spans="1:6" x14ac:dyDescent="0.2">
      <c r="A182" s="22"/>
      <c r="B182" s="23" t="s">
        <v>217</v>
      </c>
      <c r="C182">
        <f>'Picogreen Results'!G24</f>
        <v>4.7110000000000003</v>
      </c>
      <c r="E182" s="6"/>
      <c r="F182"/>
    </row>
    <row r="183" spans="1:6" x14ac:dyDescent="0.2">
      <c r="A183" s="24"/>
      <c r="B183" s="25" t="s">
        <v>218</v>
      </c>
      <c r="C183">
        <f>'Picogreen Results'!G25</f>
        <v>5.5750000000000002</v>
      </c>
      <c r="E183" s="6"/>
      <c r="F183"/>
    </row>
    <row r="184" spans="1:6" x14ac:dyDescent="0.2">
      <c r="A184" s="22"/>
      <c r="B184" s="23" t="s">
        <v>219</v>
      </c>
      <c r="C184">
        <f>'Picogreen Results'!G26</f>
        <v>6.8780000000000001</v>
      </c>
      <c r="E184" s="6"/>
      <c r="F184"/>
    </row>
    <row r="185" spans="1:6" x14ac:dyDescent="0.2">
      <c r="A185" s="24"/>
      <c r="B185" s="25" t="s">
        <v>220</v>
      </c>
      <c r="C185">
        <f>'Picogreen Results'!G27</f>
        <v>7.1459999999999999</v>
      </c>
      <c r="E185" s="6"/>
      <c r="F185"/>
    </row>
    <row r="186" spans="1:6" x14ac:dyDescent="0.2">
      <c r="A186" s="22"/>
      <c r="B186" s="23" t="s">
        <v>221</v>
      </c>
      <c r="C186">
        <f>'Picogreen Results'!G28</f>
        <v>5.9539999999999997</v>
      </c>
      <c r="E186" s="6"/>
      <c r="F186"/>
    </row>
    <row r="187" spans="1:6" x14ac:dyDescent="0.2">
      <c r="A187" s="24"/>
      <c r="B187" s="25" t="s">
        <v>222</v>
      </c>
      <c r="C187">
        <f>'Picogreen Results'!G29</f>
        <v>6.9020000000000001</v>
      </c>
      <c r="E187" s="6"/>
      <c r="F187"/>
    </row>
    <row r="188" spans="1:6" x14ac:dyDescent="0.2">
      <c r="A188" s="22"/>
      <c r="B188" s="23" t="s">
        <v>223</v>
      </c>
      <c r="C188">
        <f>'Picogreen Results'!H22</f>
        <v>6.2789999999999999</v>
      </c>
      <c r="E188" s="6"/>
      <c r="F188"/>
    </row>
    <row r="189" spans="1:6" x14ac:dyDescent="0.2">
      <c r="A189" s="24"/>
      <c r="B189" s="25" t="s">
        <v>224</v>
      </c>
      <c r="C189">
        <f>'Picogreen Results'!H23</f>
        <v>5.93</v>
      </c>
      <c r="E189" s="6"/>
      <c r="F189"/>
    </row>
    <row r="190" spans="1:6" x14ac:dyDescent="0.2">
      <c r="A190" s="22"/>
      <c r="B190" s="23" t="s">
        <v>225</v>
      </c>
      <c r="C190">
        <f>'Picogreen Results'!H24</f>
        <v>2.5310000000000001</v>
      </c>
      <c r="E190" s="6"/>
      <c r="F190"/>
    </row>
    <row r="191" spans="1:6" x14ac:dyDescent="0.2">
      <c r="A191" s="24"/>
      <c r="B191" s="25" t="s">
        <v>226</v>
      </c>
      <c r="C191">
        <f>'Picogreen Results'!H25</f>
        <v>4.8159999999999998</v>
      </c>
      <c r="E191" s="6"/>
      <c r="F191"/>
    </row>
    <row r="192" spans="1:6" x14ac:dyDescent="0.2">
      <c r="A192" s="22"/>
      <c r="B192" s="23" t="s">
        <v>227</v>
      </c>
      <c r="C192">
        <f>'Picogreen Results'!H26</f>
        <v>6.0810000000000004</v>
      </c>
      <c r="E192" s="6"/>
      <c r="F192"/>
    </row>
    <row r="193" spans="1:6" x14ac:dyDescent="0.2">
      <c r="A193" s="24"/>
      <c r="B193" s="25" t="s">
        <v>228</v>
      </c>
      <c r="C193">
        <f>'Picogreen Results'!H27</f>
        <v>4.6520000000000001</v>
      </c>
      <c r="E193" s="6"/>
      <c r="F193"/>
    </row>
    <row r="194" spans="1:6" x14ac:dyDescent="0.2">
      <c r="A194" s="22"/>
      <c r="B194" s="23" t="s">
        <v>229</v>
      </c>
      <c r="C194">
        <f>'Picogreen Results'!H28</f>
        <v>2.9540000000000002</v>
      </c>
      <c r="E194" s="6"/>
      <c r="F194"/>
    </row>
    <row r="195" spans="1:6" ht="17" thickBot="1" x14ac:dyDescent="0.25">
      <c r="A195" s="26"/>
      <c r="B195" s="27" t="s">
        <v>230</v>
      </c>
      <c r="C195">
        <f>'Picogreen Results'!H29</f>
        <v>3.855</v>
      </c>
      <c r="E195" s="6"/>
      <c r="F195"/>
    </row>
    <row r="196" spans="1:6" x14ac:dyDescent="0.2">
      <c r="A196" s="24"/>
      <c r="B196" s="25"/>
      <c r="C196">
        <f>'Picogreen Results'!I22</f>
        <v>6.1269999999999998</v>
      </c>
      <c r="E196" s="6"/>
      <c r="F196"/>
    </row>
    <row r="197" spans="1:6" x14ac:dyDescent="0.2">
      <c r="A197" s="24"/>
      <c r="B197" s="25"/>
      <c r="C197">
        <f>'Picogreen Results'!I23</f>
        <v>7.2249999999999996</v>
      </c>
      <c r="E197" s="6"/>
      <c r="F197"/>
    </row>
    <row r="198" spans="1:6" x14ac:dyDescent="0.2">
      <c r="A198" s="24"/>
      <c r="B198" s="25"/>
      <c r="C198">
        <f>'Picogreen Results'!I24</f>
        <v>7.3049999999999997</v>
      </c>
      <c r="E198" s="6"/>
      <c r="F198"/>
    </row>
    <row r="199" spans="1:6" x14ac:dyDescent="0.2">
      <c r="A199" s="24"/>
      <c r="B199" s="25"/>
      <c r="C199">
        <f>'Picogreen Results'!I25</f>
        <v>7.8319999999999999</v>
      </c>
      <c r="E199" s="6"/>
      <c r="F199"/>
    </row>
    <row r="200" spans="1:6" x14ac:dyDescent="0.2">
      <c r="A200" s="24"/>
      <c r="B200" s="25"/>
      <c r="C200">
        <f>'Picogreen Results'!I26</f>
        <v>7.3890000000000002</v>
      </c>
      <c r="E200" s="6"/>
      <c r="F200"/>
    </row>
    <row r="201" spans="1:6" x14ac:dyDescent="0.2">
      <c r="A201" s="24"/>
      <c r="B201" s="25"/>
      <c r="C201">
        <f>'Picogreen Results'!I27</f>
        <v>5.17</v>
      </c>
      <c r="E201" s="6"/>
      <c r="F201"/>
    </row>
    <row r="202" spans="1:6" x14ac:dyDescent="0.2">
      <c r="A202" s="24"/>
      <c r="B202" s="25"/>
      <c r="C202">
        <f>'Picogreen Results'!I28</f>
        <v>5.1459999999999999</v>
      </c>
      <c r="E202" s="6"/>
      <c r="F202"/>
    </row>
    <row r="203" spans="1:6" x14ac:dyDescent="0.2">
      <c r="A203" s="24"/>
      <c r="B203" s="25"/>
      <c r="C203">
        <f>'Picogreen Results'!I29</f>
        <v>4.0839999999999996</v>
      </c>
      <c r="E203" s="6"/>
      <c r="F203"/>
    </row>
    <row r="204" spans="1:6" x14ac:dyDescent="0.2">
      <c r="A204" s="24"/>
      <c r="B204" s="25"/>
      <c r="C204">
        <f>'Picogreen Results'!J22</f>
        <v>7.71</v>
      </c>
      <c r="E204" s="6"/>
      <c r="F204"/>
    </row>
    <row r="205" spans="1:6" x14ac:dyDescent="0.2">
      <c r="A205" s="24"/>
      <c r="B205" s="25"/>
      <c r="C205">
        <f>'Picogreen Results'!J23</f>
        <v>8.4130000000000003</v>
      </c>
      <c r="E205" s="6"/>
      <c r="F205"/>
    </row>
    <row r="206" spans="1:6" x14ac:dyDescent="0.2">
      <c r="A206" s="24"/>
      <c r="B206" s="25"/>
      <c r="C206">
        <f>'Picogreen Results'!J24</f>
        <v>6.8609999999999998</v>
      </c>
      <c r="E206" s="6"/>
      <c r="F206"/>
    </row>
    <row r="207" spans="1:6" x14ac:dyDescent="0.2">
      <c r="A207" s="24"/>
      <c r="B207" s="25"/>
      <c r="C207">
        <f>'Picogreen Results'!J25</f>
        <v>8.7360000000000007</v>
      </c>
      <c r="E207" s="6"/>
      <c r="F207"/>
    </row>
    <row r="208" spans="1:6" x14ac:dyDescent="0.2">
      <c r="A208" s="24"/>
      <c r="B208" s="25"/>
      <c r="C208">
        <f>'Picogreen Results'!J26</f>
        <v>9.0860000000000003</v>
      </c>
      <c r="E208" s="6"/>
      <c r="F208"/>
    </row>
    <row r="209" spans="1:6" x14ac:dyDescent="0.2">
      <c r="A209" s="24"/>
      <c r="B209" s="25"/>
      <c r="C209">
        <f>'Picogreen Results'!J27</f>
        <v>5.694</v>
      </c>
      <c r="E209" s="6"/>
      <c r="F209"/>
    </row>
    <row r="210" spans="1:6" x14ac:dyDescent="0.2">
      <c r="A210" s="24"/>
      <c r="B210" s="25"/>
      <c r="C210">
        <f>'Picogreen Results'!J28</f>
        <v>2.4740000000000002</v>
      </c>
      <c r="E210" s="6"/>
      <c r="F210"/>
    </row>
    <row r="211" spans="1:6" x14ac:dyDescent="0.2">
      <c r="A211" s="24"/>
      <c r="B211" s="25"/>
      <c r="C211">
        <f>'Picogreen Results'!J29</f>
        <v>8.0329999999999995</v>
      </c>
      <c r="E211" s="6"/>
      <c r="F211"/>
    </row>
    <row r="212" spans="1:6" x14ac:dyDescent="0.2">
      <c r="A212" s="24"/>
      <c r="B212" s="25"/>
      <c r="C212">
        <f>'Picogreen Results'!K22</f>
        <v>7.83</v>
      </c>
      <c r="E212" s="6"/>
      <c r="F212"/>
    </row>
    <row r="213" spans="1:6" x14ac:dyDescent="0.2">
      <c r="A213" s="24"/>
      <c r="B213" s="25"/>
      <c r="C213">
        <f>'Picogreen Results'!K23</f>
        <v>7.6189999999999998</v>
      </c>
      <c r="E213" s="6"/>
      <c r="F213"/>
    </row>
    <row r="214" spans="1:6" x14ac:dyDescent="0.2">
      <c r="A214" s="24"/>
      <c r="B214" s="25"/>
      <c r="C214">
        <f>'Picogreen Results'!K24</f>
        <v>8.15</v>
      </c>
      <c r="E214" s="6"/>
      <c r="F214"/>
    </row>
    <row r="215" spans="1:6" x14ac:dyDescent="0.2">
      <c r="A215" s="24"/>
      <c r="B215" s="25"/>
      <c r="C215">
        <f>'Picogreen Results'!K25</f>
        <v>7.9029999999999996</v>
      </c>
      <c r="E215" s="6"/>
      <c r="F215"/>
    </row>
    <row r="216" spans="1:6" x14ac:dyDescent="0.2">
      <c r="A216" s="24"/>
      <c r="B216" s="25"/>
      <c r="C216">
        <f>'Picogreen Results'!K26</f>
        <v>7.9880000000000004</v>
      </c>
      <c r="E216" s="6"/>
      <c r="F216"/>
    </row>
    <row r="217" spans="1:6" x14ac:dyDescent="0.2">
      <c r="A217" s="24"/>
      <c r="B217" s="25"/>
      <c r="C217">
        <f>'Picogreen Results'!K27</f>
        <v>8.0760000000000005</v>
      </c>
      <c r="E217" s="6"/>
      <c r="F217"/>
    </row>
    <row r="218" spans="1:6" x14ac:dyDescent="0.2">
      <c r="A218" s="24"/>
      <c r="B218" s="25"/>
      <c r="C218">
        <f>'Picogreen Results'!K28</f>
        <v>8.3510000000000009</v>
      </c>
      <c r="E218" s="6"/>
      <c r="F218"/>
    </row>
    <row r="219" spans="1:6" x14ac:dyDescent="0.2">
      <c r="A219" s="24"/>
      <c r="B219" s="25"/>
      <c r="C219">
        <f>'Picogreen Results'!K29</f>
        <v>7.8170000000000002</v>
      </c>
      <c r="E219" s="6"/>
      <c r="F219"/>
    </row>
    <row r="220" spans="1:6" x14ac:dyDescent="0.2">
      <c r="A220" s="24"/>
      <c r="B220" s="25"/>
      <c r="C220">
        <f>'Picogreen Results'!C30</f>
        <v>6.22</v>
      </c>
      <c r="E220" s="6"/>
      <c r="F220"/>
    </row>
    <row r="221" spans="1:6" x14ac:dyDescent="0.2">
      <c r="A221" s="24"/>
      <c r="B221" s="25"/>
      <c r="C221">
        <f>'Picogreen Results'!C31</f>
        <v>6.7480000000000002</v>
      </c>
      <c r="E221" s="6"/>
      <c r="F221"/>
    </row>
    <row r="222" spans="1:6" x14ac:dyDescent="0.2">
      <c r="A222" s="24"/>
      <c r="B222" s="25"/>
      <c r="C222">
        <f>'Picogreen Results'!C32</f>
        <v>6.6219999999999999</v>
      </c>
      <c r="E222" s="6"/>
      <c r="F222"/>
    </row>
    <row r="223" spans="1:6" x14ac:dyDescent="0.2">
      <c r="A223" s="24"/>
      <c r="B223" s="25"/>
      <c r="C223">
        <f>'Picogreen Results'!C33</f>
        <v>6.7270000000000003</v>
      </c>
      <c r="E223" s="6"/>
      <c r="F223"/>
    </row>
    <row r="224" spans="1:6" x14ac:dyDescent="0.2">
      <c r="A224" s="24"/>
      <c r="B224" s="25"/>
      <c r="C224">
        <f>'Picogreen Results'!C34</f>
        <v>6.5119999999999996</v>
      </c>
      <c r="E224" s="6"/>
      <c r="F224"/>
    </row>
    <row r="225" spans="1:6" x14ac:dyDescent="0.2">
      <c r="A225" s="24"/>
      <c r="B225" s="25"/>
      <c r="C225">
        <f>'Picogreen Results'!C35</f>
        <v>7.0990000000000002</v>
      </c>
      <c r="E225" s="6"/>
      <c r="F225"/>
    </row>
    <row r="226" spans="1:6" x14ac:dyDescent="0.2">
      <c r="A226" s="24"/>
      <c r="B226" s="25"/>
      <c r="C226">
        <f>'Picogreen Results'!C36</f>
        <v>6.9089999999999998</v>
      </c>
      <c r="E226" s="6"/>
      <c r="F226"/>
    </row>
    <row r="227" spans="1:6" x14ac:dyDescent="0.2">
      <c r="A227" s="24"/>
      <c r="B227" s="25"/>
      <c r="C227">
        <f>'Picogreen Results'!C37</f>
        <v>7.9059999999999997</v>
      </c>
      <c r="E227" s="6"/>
      <c r="F227"/>
    </row>
    <row r="228" spans="1:6" x14ac:dyDescent="0.2">
      <c r="A228" s="24"/>
      <c r="B228" s="25"/>
      <c r="C228">
        <f>'Picogreen Results'!D30</f>
        <v>6.1260000000000003</v>
      </c>
      <c r="E228" s="6"/>
      <c r="F228"/>
    </row>
    <row r="229" spans="1:6" x14ac:dyDescent="0.2">
      <c r="A229" s="24"/>
      <c r="B229" s="25"/>
      <c r="C229">
        <f>'Picogreen Results'!D31</f>
        <v>5.3140000000000001</v>
      </c>
      <c r="E229" s="6"/>
      <c r="F229"/>
    </row>
    <row r="230" spans="1:6" x14ac:dyDescent="0.2">
      <c r="A230" s="24"/>
      <c r="B230" s="25"/>
      <c r="C230">
        <f>'Picogreen Results'!D32</f>
        <v>5.9249999999999998</v>
      </c>
      <c r="E230" s="6"/>
      <c r="F230"/>
    </row>
    <row r="231" spans="1:6" x14ac:dyDescent="0.2">
      <c r="A231" s="24"/>
      <c r="B231" s="25"/>
      <c r="C231">
        <f>'Picogreen Results'!D33</f>
        <v>5.6139999999999999</v>
      </c>
      <c r="E231" s="6"/>
      <c r="F231"/>
    </row>
    <row r="232" spans="1:6" x14ac:dyDescent="0.2">
      <c r="A232" s="24"/>
      <c r="B232" s="25"/>
      <c r="C232">
        <f>'Picogreen Results'!D34</f>
        <v>6.242</v>
      </c>
      <c r="E232" s="6"/>
      <c r="F232"/>
    </row>
    <row r="233" spans="1:6" x14ac:dyDescent="0.2">
      <c r="A233" s="24"/>
      <c r="B233" s="25"/>
      <c r="C233">
        <f>'Picogreen Results'!D35</f>
        <v>5.9960000000000004</v>
      </c>
      <c r="E233" s="6"/>
      <c r="F233"/>
    </row>
    <row r="234" spans="1:6" x14ac:dyDescent="0.2">
      <c r="A234" s="24"/>
      <c r="B234" s="25"/>
      <c r="C234">
        <f>'Picogreen Results'!D36</f>
        <v>6.2489999999999997</v>
      </c>
      <c r="E234" s="6"/>
      <c r="F234"/>
    </row>
    <row r="235" spans="1:6" x14ac:dyDescent="0.2">
      <c r="A235" s="24"/>
      <c r="B235" s="25"/>
      <c r="C235">
        <f>'Picogreen Results'!D37</f>
        <v>7.92</v>
      </c>
      <c r="E235" s="6"/>
      <c r="F235"/>
    </row>
    <row r="236" spans="1:6" x14ac:dyDescent="0.2">
      <c r="A236" s="24"/>
      <c r="B236" s="25"/>
      <c r="C236">
        <f>'Picogreen Results'!E30</f>
        <v>5.9390000000000001</v>
      </c>
      <c r="E236" s="6"/>
      <c r="F236"/>
    </row>
    <row r="237" spans="1:6" x14ac:dyDescent="0.2">
      <c r="A237" s="24"/>
      <c r="B237" s="25"/>
      <c r="C237">
        <f>'Picogreen Results'!E31</f>
        <v>6.1050000000000004</v>
      </c>
      <c r="E237" s="6"/>
      <c r="F237"/>
    </row>
    <row r="238" spans="1:6" x14ac:dyDescent="0.2">
      <c r="A238" s="24"/>
      <c r="B238" s="25"/>
      <c r="C238">
        <f>'Picogreen Results'!E32</f>
        <v>6.351</v>
      </c>
      <c r="E238" s="6"/>
      <c r="F238"/>
    </row>
    <row r="239" spans="1:6" x14ac:dyDescent="0.2">
      <c r="A239" s="24"/>
      <c r="B239" s="25"/>
      <c r="C239">
        <f>'Picogreen Results'!E33</f>
        <v>6.3129999999999997</v>
      </c>
      <c r="E239" s="6"/>
      <c r="F239"/>
    </row>
    <row r="240" spans="1:6" x14ac:dyDescent="0.2">
      <c r="A240" s="24"/>
      <c r="B240" s="25"/>
      <c r="C240">
        <f>'Picogreen Results'!E34</f>
        <v>6.5609999999999999</v>
      </c>
      <c r="E240" s="6"/>
      <c r="F240"/>
    </row>
    <row r="241" spans="1:6" x14ac:dyDescent="0.2">
      <c r="A241" s="24"/>
      <c r="B241" s="25"/>
      <c r="C241">
        <f>'Picogreen Results'!E35</f>
        <v>5.5880000000000001</v>
      </c>
      <c r="E241" s="6"/>
      <c r="F241"/>
    </row>
    <row r="242" spans="1:6" x14ac:dyDescent="0.2">
      <c r="A242" s="24"/>
      <c r="B242" s="25"/>
      <c r="C242">
        <f>'Picogreen Results'!E36</f>
        <v>5.5910000000000002</v>
      </c>
      <c r="E242" s="6"/>
      <c r="F242"/>
    </row>
    <row r="243" spans="1:6" x14ac:dyDescent="0.2">
      <c r="A243" s="24"/>
      <c r="B243" s="25"/>
      <c r="C243">
        <f>'Picogreen Results'!E37</f>
        <v>8.0609999999999999</v>
      </c>
      <c r="E243" s="6"/>
      <c r="F243"/>
    </row>
    <row r="244" spans="1:6" x14ac:dyDescent="0.2">
      <c r="A244" s="24"/>
      <c r="B244" s="25"/>
      <c r="C244">
        <f>'Picogreen Results'!F30</f>
        <v>0</v>
      </c>
      <c r="E244" s="6"/>
      <c r="F244"/>
    </row>
    <row r="245" spans="1:6" x14ac:dyDescent="0.2">
      <c r="A245" s="24"/>
      <c r="B245" s="25"/>
      <c r="C245">
        <f>'Picogreen Results'!F31</f>
        <v>0</v>
      </c>
      <c r="E245" s="6"/>
      <c r="F245"/>
    </row>
    <row r="246" spans="1:6" x14ac:dyDescent="0.2">
      <c r="A246" s="24"/>
      <c r="B246" s="25"/>
      <c r="C246">
        <f>'Picogreen Results'!F32</f>
        <v>0</v>
      </c>
      <c r="E246" s="6"/>
      <c r="F246"/>
    </row>
    <row r="247" spans="1:6" x14ac:dyDescent="0.2">
      <c r="A247" s="24"/>
      <c r="B247" s="25"/>
      <c r="C247">
        <f>'Picogreen Results'!F33</f>
        <v>0</v>
      </c>
      <c r="E247" s="6"/>
      <c r="F247"/>
    </row>
    <row r="248" spans="1:6" x14ac:dyDescent="0.2">
      <c r="A248" s="24"/>
      <c r="B248" s="25"/>
      <c r="C248">
        <f>'Picogreen Results'!F34</f>
        <v>0</v>
      </c>
      <c r="E248" s="6"/>
      <c r="F248"/>
    </row>
    <row r="249" spans="1:6" x14ac:dyDescent="0.2">
      <c r="A249" s="24"/>
      <c r="B249" s="25"/>
      <c r="C249">
        <f>'Picogreen Results'!F35</f>
        <v>0</v>
      </c>
      <c r="E249" s="6"/>
      <c r="F249"/>
    </row>
    <row r="250" spans="1:6" x14ac:dyDescent="0.2">
      <c r="A250" s="24"/>
      <c r="B250" s="25"/>
      <c r="C250">
        <f>'Picogreen Results'!F36</f>
        <v>0</v>
      </c>
      <c r="E250" s="6"/>
      <c r="F250"/>
    </row>
    <row r="251" spans="1:6" x14ac:dyDescent="0.2">
      <c r="A251" s="24"/>
      <c r="B251" s="25"/>
      <c r="C251">
        <f>'Picogreen Results'!F37</f>
        <v>0</v>
      </c>
      <c r="E251" s="6"/>
      <c r="F251"/>
    </row>
    <row r="252" spans="1:6" x14ac:dyDescent="0.2">
      <c r="A252" s="24"/>
      <c r="B252" s="25"/>
      <c r="C252">
        <f>'Picogreen Results'!G30</f>
        <v>0</v>
      </c>
      <c r="E252" s="6"/>
      <c r="F252"/>
    </row>
    <row r="253" spans="1:6" x14ac:dyDescent="0.2">
      <c r="A253" s="24"/>
      <c r="B253" s="25"/>
      <c r="C253">
        <f>'Picogreen Results'!G31</f>
        <v>0</v>
      </c>
      <c r="E253" s="6"/>
      <c r="F253"/>
    </row>
    <row r="254" spans="1:6" x14ac:dyDescent="0.2">
      <c r="A254" s="24"/>
      <c r="B254" s="25"/>
      <c r="C254">
        <f>'Picogreen Results'!G32</f>
        <v>0</v>
      </c>
      <c r="E254" s="6"/>
      <c r="F254"/>
    </row>
    <row r="255" spans="1:6" x14ac:dyDescent="0.2">
      <c r="A255" s="24"/>
      <c r="B255" s="25"/>
      <c r="C255">
        <f>'Picogreen Results'!G33</f>
        <v>0</v>
      </c>
      <c r="E255" s="6"/>
      <c r="F255"/>
    </row>
    <row r="256" spans="1:6" x14ac:dyDescent="0.2">
      <c r="A256" s="24"/>
      <c r="B256" s="25"/>
      <c r="C256">
        <f>'Picogreen Results'!G34</f>
        <v>0</v>
      </c>
      <c r="E256" s="6"/>
      <c r="F256"/>
    </row>
    <row r="257" spans="1:6" x14ac:dyDescent="0.2">
      <c r="A257" s="24"/>
      <c r="B257" s="25"/>
      <c r="C257">
        <f>'Picogreen Results'!G35</f>
        <v>0</v>
      </c>
      <c r="E257" s="6"/>
      <c r="F257"/>
    </row>
    <row r="258" spans="1:6" x14ac:dyDescent="0.2">
      <c r="A258" s="24"/>
      <c r="B258" s="25"/>
      <c r="C258">
        <f>'Picogreen Results'!G36</f>
        <v>0</v>
      </c>
      <c r="E258" s="6"/>
      <c r="F258"/>
    </row>
    <row r="259" spans="1:6" x14ac:dyDescent="0.2">
      <c r="A259" s="24"/>
      <c r="B259" s="25"/>
      <c r="C259">
        <f>'Picogreen Results'!G37</f>
        <v>0</v>
      </c>
      <c r="E259" s="6"/>
      <c r="F259"/>
    </row>
    <row r="260" spans="1:6" x14ac:dyDescent="0.2">
      <c r="A260" s="24"/>
      <c r="B260" s="25"/>
      <c r="C260">
        <f>'Picogreen Results'!H30</f>
        <v>0</v>
      </c>
      <c r="E260" s="6"/>
      <c r="F260"/>
    </row>
    <row r="261" spans="1:6" x14ac:dyDescent="0.2">
      <c r="A261" s="24"/>
      <c r="B261" s="25"/>
      <c r="C261">
        <f>'Picogreen Results'!H31</f>
        <v>0</v>
      </c>
      <c r="E261" s="6"/>
      <c r="F261"/>
    </row>
    <row r="262" spans="1:6" x14ac:dyDescent="0.2">
      <c r="A262" s="24"/>
      <c r="B262" s="25"/>
      <c r="C262">
        <f>'Picogreen Results'!H32</f>
        <v>0</v>
      </c>
      <c r="E262" s="6"/>
      <c r="F262"/>
    </row>
    <row r="263" spans="1:6" x14ac:dyDescent="0.2">
      <c r="A263" s="24"/>
      <c r="B263" s="25"/>
      <c r="C263">
        <f>'Picogreen Results'!H33</f>
        <v>0</v>
      </c>
      <c r="E263" s="6"/>
      <c r="F263"/>
    </row>
    <row r="264" spans="1:6" x14ac:dyDescent="0.2">
      <c r="A264" s="24"/>
      <c r="B264" s="25"/>
      <c r="C264">
        <f>'Picogreen Results'!H34</f>
        <v>0</v>
      </c>
      <c r="E264" s="6"/>
      <c r="F264"/>
    </row>
    <row r="265" spans="1:6" x14ac:dyDescent="0.2">
      <c r="A265" s="24"/>
      <c r="B265" s="25"/>
      <c r="C265">
        <f>'Picogreen Results'!H35</f>
        <v>0</v>
      </c>
      <c r="E265" s="6"/>
      <c r="F265"/>
    </row>
    <row r="266" spans="1:6" x14ac:dyDescent="0.2">
      <c r="A266" s="24"/>
      <c r="B266" s="25"/>
      <c r="C266">
        <f>'Picogreen Results'!H36</f>
        <v>0</v>
      </c>
      <c r="E266" s="6"/>
      <c r="F266"/>
    </row>
    <row r="267" spans="1:6" x14ac:dyDescent="0.2">
      <c r="A267" s="24"/>
      <c r="B267" s="25"/>
      <c r="C267">
        <f>'Picogreen Results'!H37</f>
        <v>0</v>
      </c>
      <c r="E267" s="6"/>
      <c r="F267"/>
    </row>
    <row r="268" spans="1:6" x14ac:dyDescent="0.2">
      <c r="A268" s="24"/>
      <c r="B268" s="25"/>
      <c r="C268">
        <f>'Picogreen Results'!I30</f>
        <v>0</v>
      </c>
      <c r="E268" s="6"/>
      <c r="F268"/>
    </row>
    <row r="269" spans="1:6" x14ac:dyDescent="0.2">
      <c r="A269" s="24"/>
      <c r="B269" s="25"/>
      <c r="C269">
        <f>'Picogreen Results'!I31</f>
        <v>0</v>
      </c>
      <c r="E269" s="6"/>
      <c r="F269"/>
    </row>
    <row r="270" spans="1:6" x14ac:dyDescent="0.2">
      <c r="A270" s="24"/>
      <c r="B270" s="25"/>
      <c r="C270">
        <f>'Picogreen Results'!I32</f>
        <v>0</v>
      </c>
      <c r="E270" s="6"/>
      <c r="F270"/>
    </row>
    <row r="271" spans="1:6" x14ac:dyDescent="0.2">
      <c r="A271" s="24"/>
      <c r="B271" s="25"/>
      <c r="C271">
        <f>'Picogreen Results'!I33</f>
        <v>0</v>
      </c>
      <c r="E271" s="6"/>
      <c r="F271"/>
    </row>
    <row r="272" spans="1:6" x14ac:dyDescent="0.2">
      <c r="A272" s="24"/>
      <c r="B272" s="25"/>
      <c r="C272">
        <f>'Picogreen Results'!I34</f>
        <v>0</v>
      </c>
      <c r="E272" s="6"/>
      <c r="F272"/>
    </row>
    <row r="273" spans="1:6" x14ac:dyDescent="0.2">
      <c r="A273" s="24"/>
      <c r="B273" s="25"/>
      <c r="C273">
        <f>'Picogreen Results'!I35</f>
        <v>0</v>
      </c>
      <c r="E273" s="6"/>
      <c r="F273"/>
    </row>
    <row r="274" spans="1:6" x14ac:dyDescent="0.2">
      <c r="A274" s="24"/>
      <c r="B274" s="25"/>
      <c r="C274">
        <f>'Picogreen Results'!I36</f>
        <v>0</v>
      </c>
      <c r="E274" s="6"/>
      <c r="F274"/>
    </row>
    <row r="275" spans="1:6" x14ac:dyDescent="0.2">
      <c r="A275" s="24"/>
      <c r="B275" s="25"/>
      <c r="C275">
        <f>'Picogreen Results'!I37</f>
        <v>0</v>
      </c>
      <c r="E275" s="6"/>
      <c r="F275"/>
    </row>
    <row r="276" spans="1:6" x14ac:dyDescent="0.2">
      <c r="A276" s="24"/>
      <c r="B276" s="25"/>
      <c r="C276">
        <f>'Picogreen Results'!J30</f>
        <v>0</v>
      </c>
      <c r="E276" s="6"/>
      <c r="F276"/>
    </row>
    <row r="277" spans="1:6" x14ac:dyDescent="0.2">
      <c r="A277" s="24"/>
      <c r="B277" s="25"/>
      <c r="C277">
        <f>'Picogreen Results'!J31</f>
        <v>0</v>
      </c>
      <c r="E277" s="6"/>
      <c r="F277"/>
    </row>
    <row r="278" spans="1:6" x14ac:dyDescent="0.2">
      <c r="A278" s="24"/>
      <c r="B278" s="25"/>
      <c r="C278">
        <f>'Picogreen Results'!J32</f>
        <v>0</v>
      </c>
      <c r="E278" s="6"/>
      <c r="F278"/>
    </row>
    <row r="279" spans="1:6" x14ac:dyDescent="0.2">
      <c r="A279" s="24"/>
      <c r="B279" s="25"/>
      <c r="C279">
        <f>'Picogreen Results'!J33</f>
        <v>0</v>
      </c>
      <c r="E279" s="6"/>
      <c r="F279"/>
    </row>
    <row r="280" spans="1:6" x14ac:dyDescent="0.2">
      <c r="A280" s="24"/>
      <c r="B280" s="25"/>
      <c r="C280">
        <f>'Picogreen Results'!J34</f>
        <v>0</v>
      </c>
      <c r="E280" s="6"/>
      <c r="F280"/>
    </row>
    <row r="281" spans="1:6" x14ac:dyDescent="0.2">
      <c r="A281" s="24"/>
      <c r="B281" s="25"/>
      <c r="C281">
        <f>'Picogreen Results'!J35</f>
        <v>0</v>
      </c>
      <c r="E281" s="6"/>
      <c r="F281"/>
    </row>
    <row r="282" spans="1:6" x14ac:dyDescent="0.2">
      <c r="A282" s="24"/>
      <c r="B282" s="25"/>
      <c r="C282">
        <f>'Picogreen Results'!J36</f>
        <v>0</v>
      </c>
      <c r="E282" s="6"/>
      <c r="F282"/>
    </row>
    <row r="283" spans="1:6" x14ac:dyDescent="0.2">
      <c r="A283" s="24"/>
      <c r="B283" s="25"/>
      <c r="C283">
        <f>'Picogreen Results'!J37</f>
        <v>0</v>
      </c>
      <c r="E283" s="6"/>
      <c r="F283"/>
    </row>
    <row r="284" spans="1:6" x14ac:dyDescent="0.2">
      <c r="A284" s="24"/>
      <c r="B284" s="25"/>
      <c r="C284">
        <f>'Picogreen Results'!K30</f>
        <v>0</v>
      </c>
      <c r="E284" s="6"/>
      <c r="F284"/>
    </row>
    <row r="285" spans="1:6" x14ac:dyDescent="0.2">
      <c r="A285" s="24"/>
      <c r="B285" s="25"/>
      <c r="C285">
        <f>'Picogreen Results'!K31</f>
        <v>0</v>
      </c>
      <c r="E285" s="6"/>
      <c r="F285"/>
    </row>
    <row r="286" spans="1:6" x14ac:dyDescent="0.2">
      <c r="A286" s="24"/>
      <c r="B286" s="25"/>
      <c r="C286">
        <f>'Picogreen Results'!K32</f>
        <v>0</v>
      </c>
      <c r="E286" s="6"/>
      <c r="F286"/>
    </row>
    <row r="287" spans="1:6" x14ac:dyDescent="0.2">
      <c r="A287" s="24"/>
      <c r="B287" s="25"/>
      <c r="C287">
        <f>'Picogreen Results'!K33</f>
        <v>0</v>
      </c>
      <c r="E287" s="6"/>
      <c r="F287"/>
    </row>
    <row r="288" spans="1:6" x14ac:dyDescent="0.2">
      <c r="A288" s="24"/>
      <c r="B288" s="25"/>
      <c r="C288">
        <f>'Picogreen Results'!K34</f>
        <v>0</v>
      </c>
      <c r="E288" s="6"/>
      <c r="F288"/>
    </row>
    <row r="289" spans="1:6" x14ac:dyDescent="0.2">
      <c r="A289" s="24"/>
      <c r="B289" s="25"/>
      <c r="C289">
        <f>'Picogreen Results'!K35</f>
        <v>0</v>
      </c>
      <c r="E289" s="6"/>
      <c r="F289"/>
    </row>
    <row r="290" spans="1:6" x14ac:dyDescent="0.2">
      <c r="A290" s="24"/>
      <c r="B290" s="25"/>
      <c r="C290">
        <f>'Picogreen Results'!K36</f>
        <v>0</v>
      </c>
      <c r="E290" s="6"/>
      <c r="F290"/>
    </row>
    <row r="291" spans="1:6" x14ac:dyDescent="0.2">
      <c r="A291" s="24"/>
      <c r="B291" s="25"/>
      <c r="C291">
        <f>'Picogreen Results'!K37</f>
        <v>0</v>
      </c>
      <c r="E291" s="6"/>
      <c r="F291"/>
    </row>
    <row r="292" spans="1:6" x14ac:dyDescent="0.2">
      <c r="B292" s="62"/>
      <c r="C292">
        <f>'Picogreen Results'!C38</f>
        <v>0</v>
      </c>
    </row>
    <row r="293" spans="1:6" x14ac:dyDescent="0.2">
      <c r="B293" s="62"/>
      <c r="C293">
        <f>'Picogreen Results'!C39</f>
        <v>0</v>
      </c>
    </row>
    <row r="294" spans="1:6" x14ac:dyDescent="0.2">
      <c r="B294" s="62"/>
      <c r="C294">
        <f>'Picogreen Results'!C40</f>
        <v>0</v>
      </c>
    </row>
    <row r="295" spans="1:6" x14ac:dyDescent="0.2">
      <c r="B295" s="62"/>
      <c r="C295">
        <f>'Picogreen Results'!C41</f>
        <v>0</v>
      </c>
    </row>
    <row r="296" spans="1:6" x14ac:dyDescent="0.2">
      <c r="B296" s="62"/>
      <c r="C296">
        <f>'Picogreen Results'!C42</f>
        <v>0</v>
      </c>
    </row>
    <row r="297" spans="1:6" x14ac:dyDescent="0.2">
      <c r="B297" s="62"/>
      <c r="C297">
        <f>'Picogreen Results'!C43</f>
        <v>0</v>
      </c>
    </row>
    <row r="298" spans="1:6" x14ac:dyDescent="0.2">
      <c r="B298" s="62"/>
      <c r="C298">
        <f>'Picogreen Results'!C44</f>
        <v>0</v>
      </c>
    </row>
    <row r="299" spans="1:6" x14ac:dyDescent="0.2">
      <c r="B299" s="62"/>
      <c r="C299">
        <f>'Picogreen Results'!C45</f>
        <v>0</v>
      </c>
    </row>
    <row r="300" spans="1:6" x14ac:dyDescent="0.2">
      <c r="B300" s="62"/>
      <c r="C300">
        <f>'Picogreen Results'!D38</f>
        <v>0</v>
      </c>
    </row>
    <row r="301" spans="1:6" x14ac:dyDescent="0.2">
      <c r="B301" s="62"/>
      <c r="C301">
        <f>'Picogreen Results'!D39</f>
        <v>0</v>
      </c>
    </row>
    <row r="302" spans="1:6" x14ac:dyDescent="0.2">
      <c r="B302" s="62"/>
      <c r="C302">
        <f>'Picogreen Results'!D40</f>
        <v>0</v>
      </c>
    </row>
    <row r="303" spans="1:6" x14ac:dyDescent="0.2">
      <c r="B303" s="62"/>
      <c r="C303">
        <f>'Picogreen Results'!D41</f>
        <v>0</v>
      </c>
    </row>
    <row r="304" spans="1:6" x14ac:dyDescent="0.2">
      <c r="B304" s="62"/>
      <c r="C304">
        <f>'Picogreen Results'!D42</f>
        <v>0</v>
      </c>
    </row>
    <row r="305" spans="2:3" x14ac:dyDescent="0.2">
      <c r="B305" s="62"/>
      <c r="C305">
        <f>'Picogreen Results'!D43</f>
        <v>0</v>
      </c>
    </row>
    <row r="306" spans="2:3" x14ac:dyDescent="0.2">
      <c r="B306" s="62"/>
      <c r="C306">
        <f>'Picogreen Results'!D44</f>
        <v>0</v>
      </c>
    </row>
    <row r="307" spans="2:3" x14ac:dyDescent="0.2">
      <c r="B307" s="62"/>
      <c r="C307">
        <f>'Picogreen Results'!D45</f>
        <v>0</v>
      </c>
    </row>
    <row r="308" spans="2:3" x14ac:dyDescent="0.2">
      <c r="B308" s="62"/>
      <c r="C308">
        <f>'Picogreen Results'!E38</f>
        <v>0</v>
      </c>
    </row>
    <row r="309" spans="2:3" x14ac:dyDescent="0.2">
      <c r="B309" s="62"/>
      <c r="C309">
        <f>'Picogreen Results'!E39</f>
        <v>0</v>
      </c>
    </row>
    <row r="310" spans="2:3" x14ac:dyDescent="0.2">
      <c r="B310" s="62"/>
      <c r="C310">
        <f>'Picogreen Results'!E40</f>
        <v>0</v>
      </c>
    </row>
    <row r="311" spans="2:3" x14ac:dyDescent="0.2">
      <c r="B311" s="62"/>
      <c r="C311">
        <f>'Picogreen Results'!E41</f>
        <v>0</v>
      </c>
    </row>
    <row r="312" spans="2:3" x14ac:dyDescent="0.2">
      <c r="B312" s="62"/>
      <c r="C312">
        <f>'Picogreen Results'!E42</f>
        <v>0</v>
      </c>
    </row>
    <row r="313" spans="2:3" x14ac:dyDescent="0.2">
      <c r="B313" s="62"/>
      <c r="C313">
        <f>'Picogreen Results'!E43</f>
        <v>0</v>
      </c>
    </row>
    <row r="314" spans="2:3" x14ac:dyDescent="0.2">
      <c r="B314" s="62"/>
      <c r="C314">
        <f>'Picogreen Results'!E44</f>
        <v>0</v>
      </c>
    </row>
    <row r="315" spans="2:3" x14ac:dyDescent="0.2">
      <c r="B315" s="62"/>
      <c r="C315">
        <f>'Picogreen Results'!E45</f>
        <v>0</v>
      </c>
    </row>
    <row r="316" spans="2:3" x14ac:dyDescent="0.2">
      <c r="B316" s="62"/>
      <c r="C316">
        <f>'Picogreen Results'!F38</f>
        <v>0</v>
      </c>
    </row>
    <row r="317" spans="2:3" x14ac:dyDescent="0.2">
      <c r="B317" s="62"/>
      <c r="C317">
        <f>'Picogreen Results'!F39</f>
        <v>0</v>
      </c>
    </row>
    <row r="318" spans="2:3" x14ac:dyDescent="0.2">
      <c r="B318" s="62"/>
      <c r="C318">
        <f>'Picogreen Results'!F40</f>
        <v>0</v>
      </c>
    </row>
    <row r="319" spans="2:3" x14ac:dyDescent="0.2">
      <c r="B319" s="62"/>
      <c r="C319">
        <f>'Picogreen Results'!F41</f>
        <v>0</v>
      </c>
    </row>
    <row r="320" spans="2:3" x14ac:dyDescent="0.2">
      <c r="B320" s="62"/>
      <c r="C320">
        <f>'Picogreen Results'!F42</f>
        <v>0</v>
      </c>
    </row>
    <row r="321" spans="2:3" x14ac:dyDescent="0.2">
      <c r="B321" s="62"/>
      <c r="C321">
        <f>'Picogreen Results'!F43</f>
        <v>0</v>
      </c>
    </row>
    <row r="322" spans="2:3" x14ac:dyDescent="0.2">
      <c r="B322" s="62"/>
      <c r="C322">
        <f>'Picogreen Results'!F44</f>
        <v>0</v>
      </c>
    </row>
    <row r="323" spans="2:3" x14ac:dyDescent="0.2">
      <c r="B323" s="62"/>
      <c r="C323">
        <f>'Picogreen Results'!F45</f>
        <v>0</v>
      </c>
    </row>
    <row r="324" spans="2:3" x14ac:dyDescent="0.2">
      <c r="B324" s="62"/>
      <c r="C324">
        <f>'Picogreen Results'!G38</f>
        <v>0</v>
      </c>
    </row>
    <row r="325" spans="2:3" x14ac:dyDescent="0.2">
      <c r="B325" s="62"/>
      <c r="C325">
        <f>'Picogreen Results'!G39</f>
        <v>0</v>
      </c>
    </row>
    <row r="326" spans="2:3" x14ac:dyDescent="0.2">
      <c r="B326" s="62"/>
      <c r="C326">
        <f>'Picogreen Results'!G40</f>
        <v>0</v>
      </c>
    </row>
    <row r="327" spans="2:3" x14ac:dyDescent="0.2">
      <c r="B327" s="62"/>
      <c r="C327">
        <f>'Picogreen Results'!G41</f>
        <v>0</v>
      </c>
    </row>
    <row r="328" spans="2:3" x14ac:dyDescent="0.2">
      <c r="B328" s="62"/>
      <c r="C328">
        <f>'Picogreen Results'!G42</f>
        <v>0</v>
      </c>
    </row>
    <row r="329" spans="2:3" x14ac:dyDescent="0.2">
      <c r="B329" s="62"/>
      <c r="C329">
        <f>'Picogreen Results'!G43</f>
        <v>0</v>
      </c>
    </row>
    <row r="330" spans="2:3" x14ac:dyDescent="0.2">
      <c r="B330" s="62"/>
      <c r="C330">
        <f>'Picogreen Results'!G44</f>
        <v>0</v>
      </c>
    </row>
    <row r="331" spans="2:3" x14ac:dyDescent="0.2">
      <c r="B331" s="62"/>
      <c r="C331">
        <f>'Picogreen Results'!G45</f>
        <v>0</v>
      </c>
    </row>
    <row r="332" spans="2:3" x14ac:dyDescent="0.2">
      <c r="B332" s="62"/>
      <c r="C332">
        <f>'Picogreen Results'!H38</f>
        <v>0</v>
      </c>
    </row>
    <row r="333" spans="2:3" x14ac:dyDescent="0.2">
      <c r="B333" s="62"/>
      <c r="C333">
        <f>'Picogreen Results'!H39</f>
        <v>0</v>
      </c>
    </row>
    <row r="334" spans="2:3" x14ac:dyDescent="0.2">
      <c r="B334" s="62"/>
      <c r="C334">
        <f>'Picogreen Results'!H40</f>
        <v>0</v>
      </c>
    </row>
    <row r="335" spans="2:3" x14ac:dyDescent="0.2">
      <c r="B335" s="62"/>
      <c r="C335">
        <f>'Picogreen Results'!H41</f>
        <v>0</v>
      </c>
    </row>
    <row r="336" spans="2:3" x14ac:dyDescent="0.2">
      <c r="B336" s="62"/>
      <c r="C336">
        <f>'Picogreen Results'!H42</f>
        <v>0</v>
      </c>
    </row>
    <row r="337" spans="2:3" x14ac:dyDescent="0.2">
      <c r="B337" s="62"/>
      <c r="C337">
        <f>'Picogreen Results'!H43</f>
        <v>0</v>
      </c>
    </row>
    <row r="338" spans="2:3" x14ac:dyDescent="0.2">
      <c r="B338" s="62"/>
      <c r="C338">
        <f>'Picogreen Results'!H44</f>
        <v>0</v>
      </c>
    </row>
    <row r="339" spans="2:3" x14ac:dyDescent="0.2">
      <c r="B339" s="62"/>
      <c r="C339">
        <f>'Picogreen Results'!H45</f>
        <v>0</v>
      </c>
    </row>
    <row r="340" spans="2:3" x14ac:dyDescent="0.2">
      <c r="B340" s="62"/>
      <c r="C340">
        <f>'Picogreen Results'!I38</f>
        <v>0</v>
      </c>
    </row>
    <row r="341" spans="2:3" x14ac:dyDescent="0.2">
      <c r="B341" s="62"/>
      <c r="C341">
        <f>'Picogreen Results'!I39</f>
        <v>0</v>
      </c>
    </row>
    <row r="342" spans="2:3" x14ac:dyDescent="0.2">
      <c r="B342" s="62"/>
      <c r="C342">
        <f>'Picogreen Results'!I40</f>
        <v>0</v>
      </c>
    </row>
    <row r="343" spans="2:3" x14ac:dyDescent="0.2">
      <c r="B343" s="62"/>
      <c r="C343">
        <f>'Picogreen Results'!I41</f>
        <v>0</v>
      </c>
    </row>
    <row r="344" spans="2:3" x14ac:dyDescent="0.2">
      <c r="B344" s="62"/>
      <c r="C344">
        <f>'Picogreen Results'!I42</f>
        <v>0</v>
      </c>
    </row>
    <row r="345" spans="2:3" x14ac:dyDescent="0.2">
      <c r="B345" s="62"/>
      <c r="C345">
        <f>'Picogreen Results'!I43</f>
        <v>0</v>
      </c>
    </row>
    <row r="346" spans="2:3" x14ac:dyDescent="0.2">
      <c r="B346" s="62"/>
      <c r="C346">
        <f>'Picogreen Results'!I44</f>
        <v>0</v>
      </c>
    </row>
    <row r="347" spans="2:3" x14ac:dyDescent="0.2">
      <c r="B347" s="62"/>
      <c r="C347">
        <f>'Picogreen Results'!I45</f>
        <v>0</v>
      </c>
    </row>
    <row r="348" spans="2:3" x14ac:dyDescent="0.2">
      <c r="B348" s="62"/>
      <c r="C348">
        <f>'Picogreen Results'!J38</f>
        <v>0</v>
      </c>
    </row>
    <row r="349" spans="2:3" x14ac:dyDescent="0.2">
      <c r="B349" s="62"/>
      <c r="C349">
        <f>'Picogreen Results'!J39</f>
        <v>0</v>
      </c>
    </row>
    <row r="350" spans="2:3" x14ac:dyDescent="0.2">
      <c r="B350" s="62"/>
      <c r="C350">
        <f>'Picogreen Results'!J40</f>
        <v>0</v>
      </c>
    </row>
    <row r="351" spans="2:3" x14ac:dyDescent="0.2">
      <c r="B351" s="62"/>
      <c r="C351">
        <f>'Picogreen Results'!J41</f>
        <v>0</v>
      </c>
    </row>
    <row r="352" spans="2:3" x14ac:dyDescent="0.2">
      <c r="B352" s="62"/>
      <c r="C352">
        <f>'Picogreen Results'!J42</f>
        <v>0</v>
      </c>
    </row>
    <row r="353" spans="2:3" x14ac:dyDescent="0.2">
      <c r="B353" s="62"/>
      <c r="C353">
        <f>'Picogreen Results'!J43</f>
        <v>0</v>
      </c>
    </row>
    <row r="354" spans="2:3" x14ac:dyDescent="0.2">
      <c r="B354" s="62"/>
      <c r="C354">
        <f>'Picogreen Results'!J44</f>
        <v>0</v>
      </c>
    </row>
    <row r="355" spans="2:3" x14ac:dyDescent="0.2">
      <c r="B355" s="62"/>
      <c r="C355">
        <f>'Picogreen Results'!J45</f>
        <v>0</v>
      </c>
    </row>
    <row r="356" spans="2:3" x14ac:dyDescent="0.2">
      <c r="B356" s="62"/>
      <c r="C356" s="63">
        <f>'Picogreen Results'!K38</f>
        <v>0</v>
      </c>
    </row>
    <row r="357" spans="2:3" x14ac:dyDescent="0.2">
      <c r="B357" s="62"/>
      <c r="C357" s="63">
        <f>'Picogreen Results'!K39</f>
        <v>0</v>
      </c>
    </row>
    <row r="358" spans="2:3" x14ac:dyDescent="0.2">
      <c r="B358" s="62"/>
      <c r="C358" s="63">
        <f>'Picogreen Results'!K40</f>
        <v>0</v>
      </c>
    </row>
    <row r="359" spans="2:3" x14ac:dyDescent="0.2">
      <c r="B359" s="62"/>
      <c r="C359" s="63">
        <f>'Picogreen Results'!K41</f>
        <v>0</v>
      </c>
    </row>
    <row r="360" spans="2:3" x14ac:dyDescent="0.2">
      <c r="B360" s="62"/>
      <c r="C360" s="63">
        <f>'Picogreen Results'!K42</f>
        <v>0</v>
      </c>
    </row>
    <row r="361" spans="2:3" x14ac:dyDescent="0.2">
      <c r="B361" s="62"/>
      <c r="C361" s="63">
        <f>'Picogreen Results'!K43</f>
        <v>0</v>
      </c>
    </row>
    <row r="362" spans="2:3" x14ac:dyDescent="0.2">
      <c r="B362" s="62"/>
      <c r="C362" s="63">
        <f>'Picogreen Results'!K44</f>
        <v>0</v>
      </c>
    </row>
    <row r="363" spans="2:3" x14ac:dyDescent="0.2">
      <c r="B363" s="62"/>
      <c r="C363" s="63">
        <f>'Picogreen Results'!K45</f>
        <v>0</v>
      </c>
    </row>
  </sheetData>
  <mergeCells count="2">
    <mergeCell ref="A2:D2"/>
    <mergeCell ref="C1:D1"/>
  </mergeCells>
  <phoneticPr fontId="5" type="noConversion"/>
  <conditionalFormatting sqref="E292:E1048576 D161:D291">
    <cfRule type="cellIs" dxfId="21" priority="9" operator="lessThan">
      <formula>0</formula>
    </cfRule>
  </conditionalFormatting>
  <conditionalFormatting sqref="C12:C19">
    <cfRule type="cellIs" dxfId="20" priority="1" operator="greaterThan">
      <formula>10</formula>
    </cfRule>
  </conditionalFormatting>
  <conditionalFormatting sqref="C4:C11">
    <cfRule type="cellIs" dxfId="19" priority="2" operator="greaterThan">
      <formula>10</formula>
    </cfRule>
  </conditionalFormatting>
  <pageMargins left="0.25" right="0.25" top="0.375" bottom="0.75" header="0.3" footer="0.3"/>
  <pageSetup orientation="portrait" horizontalDpi="4294967292" verticalDpi="4294967292" r:id="rId1"/>
  <headerFooter>
    <oddFooter>&amp;LFILEPATH:_x000D_Sheet:&amp;R&amp;Z&amp;F_x000D_&amp;A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hidecomments">
                <anchor moveWithCells="1" sizeWithCells="1">
                  <from>
                    <xdr:col>0</xdr:col>
                    <xdr:colOff>101600</xdr:colOff>
                    <xdr:row>0</xdr:row>
                    <xdr:rowOff>101600</xdr:rowOff>
                  </from>
                  <to>
                    <xdr:col>0</xdr:col>
                    <xdr:colOff>1206500</xdr:colOff>
                    <xdr:row>0</xdr:row>
                    <xdr:rowOff>444500</xdr:rowOff>
                  </to>
                </anchor>
              </controlPr>
            </control>
          </mc:Choice>
          <mc:Fallback/>
        </mc:AlternateContent>
        <mc:AlternateContent xmlns:mc="http://schemas.openxmlformats.org/markup-compatibility/2006">
          <mc:Choice Requires="x14">
            <control shapeId="6146" r:id="rId5" name="Button 2">
              <controlPr defaultSize="0" print="0" autoFill="0" autoPict="0" macro="[0]!hideall">
                <anchor moveWithCells="1" sizeWithCells="1">
                  <from>
                    <xdr:col>0</xdr:col>
                    <xdr:colOff>1409700</xdr:colOff>
                    <xdr:row>0</xdr:row>
                    <xdr:rowOff>101600</xdr:rowOff>
                  </from>
                  <to>
                    <xdr:col>2</xdr:col>
                    <xdr:colOff>0</xdr:colOff>
                    <xdr:row>0</xdr:row>
                    <xdr:rowOff>444500</xdr:rowOff>
                  </to>
                </anchor>
              </controlPr>
            </control>
          </mc:Choice>
          <mc:Fallback/>
        </mc:AlternateContent>
        <mc:AlternateContent xmlns:mc="http://schemas.openxmlformats.org/markup-compatibility/2006">
          <mc:Choice Requires="x14">
            <control shapeId="6147" r:id="rId6" name="Button 3">
              <controlPr defaultSize="0" print="0" autoFill="0" autoPict="0" macro="[0]!insert1row">
                <anchor moveWithCells="1" sizeWithCells="1">
                  <from>
                    <xdr:col>2</xdr:col>
                    <xdr:colOff>1562100</xdr:colOff>
                    <xdr:row>0</xdr:row>
                    <xdr:rowOff>101600</xdr:rowOff>
                  </from>
                  <to>
                    <xdr:col>3</xdr:col>
                    <xdr:colOff>723900</xdr:colOff>
                    <xdr:row>0</xdr:row>
                    <xdr:rowOff>444500</xdr:rowOff>
                  </to>
                </anchor>
              </controlPr>
            </control>
          </mc:Choice>
          <mc:Fallback/>
        </mc:AlternateContent>
      </controls>
    </mc:Choice>
    <mc:Fallback/>
  </mc:AlternateContent>
  <tableParts count="1">
    <tablePart r:id="rId7"/>
  </tableParts>
  <extLst>
    <ext xmlns:mx="http://schemas.microsoft.com/office/mac/excel/2008/main" uri="{64002731-A6B0-56B0-2670-7721B7C09600}">
      <mx:PLV Mode="1" OnePage="0" WScale="10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theme="8"/>
  </sheetPr>
  <dimension ref="A1:I249"/>
  <sheetViews>
    <sheetView tabSelected="1" view="pageLayout" workbookViewId="0">
      <selection activeCell="G17" sqref="G17"/>
    </sheetView>
  </sheetViews>
  <sheetFormatPr baseColWidth="10" defaultColWidth="11.1640625" defaultRowHeight="16" x14ac:dyDescent="0.2"/>
  <cols>
    <col min="1" max="1" width="15.1640625" customWidth="1"/>
    <col min="2" max="2" width="9.5" customWidth="1"/>
    <col min="3" max="3" width="9.6640625" style="3" customWidth="1"/>
    <col min="4" max="4" width="11" style="3" customWidth="1"/>
    <col min="5" max="5" width="9.6640625" customWidth="1"/>
    <col min="6" max="6" width="9.1640625" customWidth="1"/>
    <col min="7" max="7" width="11.33203125" style="3" customWidth="1"/>
    <col min="8" max="8" width="7.5" style="3" customWidth="1"/>
    <col min="9" max="9" width="8.6640625" style="3" customWidth="1"/>
  </cols>
  <sheetData>
    <row r="1" spans="1:9" x14ac:dyDescent="0.2"/>
    <row r="5" spans="1:9" ht="17" thickBot="1" x14ac:dyDescent="0.25">
      <c r="A5" s="2"/>
      <c r="B5" s="2"/>
      <c r="C5" s="17"/>
      <c r="D5" s="17"/>
      <c r="E5" s="2"/>
      <c r="F5" s="2"/>
      <c r="G5" s="17"/>
      <c r="H5" s="17"/>
      <c r="I5" s="17"/>
    </row>
    <row r="6" spans="1:9" ht="46.25" customHeight="1" thickBot="1" x14ac:dyDescent="0.25">
      <c r="A6" s="28" t="s">
        <v>10</v>
      </c>
      <c r="B6" s="30" t="s">
        <v>18</v>
      </c>
      <c r="C6" s="31" t="s">
        <v>17</v>
      </c>
      <c r="D6" s="33" t="s">
        <v>16</v>
      </c>
      <c r="E6" s="34">
        <f>SUM(Table2[Capped Pool])</f>
        <v>1397.5516966981547</v>
      </c>
      <c r="F6" s="2"/>
      <c r="G6" s="35"/>
      <c r="H6" s="36" t="s">
        <v>15</v>
      </c>
      <c r="I6" s="37">
        <f>(SUM(Table2[Sum ng DNA]))/1000</f>
        <v>6.2899800000000008</v>
      </c>
    </row>
    <row r="7" spans="1:9" ht="17" thickBot="1" x14ac:dyDescent="0.25">
      <c r="A7" s="29">
        <v>30</v>
      </c>
      <c r="B7" s="29">
        <f>MIN(Table2[Capped Pool])</f>
        <v>3.301782962799912</v>
      </c>
      <c r="C7" s="32">
        <v>7.5</v>
      </c>
      <c r="D7" s="17"/>
      <c r="E7" s="2"/>
      <c r="F7" s="2"/>
      <c r="G7" s="17"/>
      <c r="H7" s="17"/>
      <c r="I7" s="17"/>
    </row>
    <row r="8" spans="1:9" ht="9" customHeight="1" x14ac:dyDescent="0.2"/>
    <row r="9" spans="1:9" ht="48" x14ac:dyDescent="0.2">
      <c r="A9" s="14" t="s">
        <v>0</v>
      </c>
      <c r="B9" s="14" t="s">
        <v>238</v>
      </c>
      <c r="C9" s="15" t="s">
        <v>2</v>
      </c>
      <c r="D9" s="15" t="s">
        <v>3</v>
      </c>
      <c r="E9" s="14" t="s">
        <v>5</v>
      </c>
      <c r="F9" s="14" t="s">
        <v>1</v>
      </c>
      <c r="G9" s="15" t="s">
        <v>4</v>
      </c>
      <c r="H9" s="15" t="s">
        <v>24</v>
      </c>
      <c r="I9" s="16" t="s">
        <v>6</v>
      </c>
    </row>
    <row r="10" spans="1:9" x14ac:dyDescent="0.2">
      <c r="A10" s="64" t="s">
        <v>415</v>
      </c>
      <c r="B10" s="9">
        <f>'Intermediate Results'!C4</f>
        <v>3.181</v>
      </c>
      <c r="C10" s="11">
        <f t="shared" ref="C10:C249" si="0">$A$7/B10</f>
        <v>9.430996541967934</v>
      </c>
      <c r="D10" s="11">
        <f t="shared" ref="D10:D249" si="1">MIN(C10,$C$7)</f>
        <v>7.5</v>
      </c>
      <c r="E10" s="10"/>
      <c r="F10" s="12" t="s">
        <v>34</v>
      </c>
      <c r="G10" s="11">
        <f t="shared" ref="G10:G249" si="2">C10-D10</f>
        <v>1.930996541967934</v>
      </c>
      <c r="H10" s="11">
        <f t="shared" ref="H10:H249" si="3">C10/D10</f>
        <v>1.2574662055957246</v>
      </c>
      <c r="I10" s="13">
        <f t="shared" ref="I10:I249" si="4">B10*D10</f>
        <v>23.857500000000002</v>
      </c>
    </row>
    <row r="11" spans="1:9" x14ac:dyDescent="0.2">
      <c r="A11" s="64" t="s">
        <v>416</v>
      </c>
      <c r="B11" s="9">
        <f>'Intermediate Results'!C5</f>
        <v>1.4590000000000001</v>
      </c>
      <c r="C11" s="11">
        <f t="shared" si="0"/>
        <v>20.562028786840301</v>
      </c>
      <c r="D11" s="11">
        <f t="shared" si="1"/>
        <v>7.5</v>
      </c>
      <c r="E11" s="10"/>
      <c r="F11" s="12" t="s">
        <v>35</v>
      </c>
      <c r="G11" s="11">
        <f t="shared" si="2"/>
        <v>13.062028786840301</v>
      </c>
      <c r="H11" s="11">
        <f t="shared" si="3"/>
        <v>2.7416038382453736</v>
      </c>
      <c r="I11" s="13">
        <f t="shared" si="4"/>
        <v>10.942500000000001</v>
      </c>
    </row>
    <row r="12" spans="1:9" x14ac:dyDescent="0.2">
      <c r="A12" s="64" t="s">
        <v>417</v>
      </c>
      <c r="B12" s="9">
        <f>'Intermediate Results'!C6</f>
        <v>2.8730000000000002</v>
      </c>
      <c r="C12" s="11">
        <f t="shared" si="0"/>
        <v>10.442046641141664</v>
      </c>
      <c r="D12" s="11">
        <f t="shared" si="1"/>
        <v>7.5</v>
      </c>
      <c r="E12" s="10"/>
      <c r="F12" s="12" t="s">
        <v>36</v>
      </c>
      <c r="G12" s="11">
        <f t="shared" si="2"/>
        <v>2.9420466411416637</v>
      </c>
      <c r="H12" s="11">
        <f t="shared" si="3"/>
        <v>1.3922728854855551</v>
      </c>
      <c r="I12" s="13">
        <f t="shared" si="4"/>
        <v>21.547500000000003</v>
      </c>
    </row>
    <row r="13" spans="1:9" x14ac:dyDescent="0.2">
      <c r="A13" s="64" t="s">
        <v>418</v>
      </c>
      <c r="B13" s="9">
        <f>'Intermediate Results'!C7</f>
        <v>3.8119999999999998</v>
      </c>
      <c r="C13" s="11">
        <f t="shared" si="0"/>
        <v>7.8698845750262336</v>
      </c>
      <c r="D13" s="11">
        <f t="shared" si="1"/>
        <v>7.5</v>
      </c>
      <c r="E13" s="10"/>
      <c r="F13" s="12" t="s">
        <v>37</v>
      </c>
      <c r="G13" s="11">
        <f t="shared" si="2"/>
        <v>0.36988457502623362</v>
      </c>
      <c r="H13" s="11">
        <f t="shared" si="3"/>
        <v>1.0493179433368311</v>
      </c>
      <c r="I13" s="13">
        <f t="shared" si="4"/>
        <v>28.59</v>
      </c>
    </row>
    <row r="14" spans="1:9" x14ac:dyDescent="0.2">
      <c r="A14" s="64" t="s">
        <v>419</v>
      </c>
      <c r="B14" s="9">
        <f>'Intermediate Results'!C8</f>
        <v>1.5029999999999999</v>
      </c>
      <c r="C14" s="11">
        <f t="shared" si="0"/>
        <v>19.960079840319363</v>
      </c>
      <c r="D14" s="11">
        <f t="shared" si="1"/>
        <v>7.5</v>
      </c>
      <c r="E14" s="10"/>
      <c r="F14" s="12" t="s">
        <v>38</v>
      </c>
      <c r="G14" s="11">
        <f t="shared" si="2"/>
        <v>12.460079840319363</v>
      </c>
      <c r="H14" s="11">
        <f t="shared" si="3"/>
        <v>2.6613439787092483</v>
      </c>
      <c r="I14" s="13">
        <f t="shared" si="4"/>
        <v>11.272499999999999</v>
      </c>
    </row>
    <row r="15" spans="1:9" x14ac:dyDescent="0.2">
      <c r="A15" s="64" t="s">
        <v>420</v>
      </c>
      <c r="B15" s="9">
        <f>'Intermediate Results'!C9</f>
        <v>1.2350000000000001</v>
      </c>
      <c r="C15" s="11">
        <f t="shared" si="0"/>
        <v>24.291497975708499</v>
      </c>
      <c r="D15" s="11">
        <f t="shared" si="1"/>
        <v>7.5</v>
      </c>
      <c r="E15" s="10"/>
      <c r="F15" s="12" t="s">
        <v>39</v>
      </c>
      <c r="G15" s="11">
        <f t="shared" si="2"/>
        <v>16.791497975708499</v>
      </c>
      <c r="H15" s="11">
        <f t="shared" si="3"/>
        <v>3.2388663967611331</v>
      </c>
      <c r="I15" s="13">
        <f t="shared" si="4"/>
        <v>9.2625000000000011</v>
      </c>
    </row>
    <row r="16" spans="1:9" x14ac:dyDescent="0.2">
      <c r="A16" s="64" t="s">
        <v>421</v>
      </c>
      <c r="B16" s="9">
        <f>'Intermediate Results'!C10</f>
        <v>1.9450000000000001</v>
      </c>
      <c r="C16" s="11">
        <f t="shared" si="0"/>
        <v>15.424164524421593</v>
      </c>
      <c r="D16" s="11">
        <f t="shared" si="1"/>
        <v>7.5</v>
      </c>
      <c r="E16" s="10"/>
      <c r="F16" s="12" t="s">
        <v>40</v>
      </c>
      <c r="G16" s="11">
        <f t="shared" si="2"/>
        <v>7.9241645244215935</v>
      </c>
      <c r="H16" s="11">
        <f t="shared" si="3"/>
        <v>2.0565552699228791</v>
      </c>
      <c r="I16" s="13">
        <f t="shared" si="4"/>
        <v>14.5875</v>
      </c>
    </row>
    <row r="17" spans="1:9" x14ac:dyDescent="0.2">
      <c r="A17" s="64" t="s">
        <v>422</v>
      </c>
      <c r="B17" s="9">
        <f>'Intermediate Results'!C11</f>
        <v>3.081</v>
      </c>
      <c r="C17" s="11">
        <f t="shared" si="0"/>
        <v>9.7370983446932815</v>
      </c>
      <c r="D17" s="11">
        <f t="shared" si="1"/>
        <v>7.5</v>
      </c>
      <c r="E17" s="10"/>
      <c r="F17" s="12" t="s">
        <v>41</v>
      </c>
      <c r="G17" s="11">
        <f t="shared" si="2"/>
        <v>2.2370983446932815</v>
      </c>
      <c r="H17" s="11">
        <f t="shared" si="3"/>
        <v>1.2982797792924374</v>
      </c>
      <c r="I17" s="13">
        <f t="shared" si="4"/>
        <v>23.107499999999998</v>
      </c>
    </row>
    <row r="18" spans="1:9" x14ac:dyDescent="0.2">
      <c r="A18" s="64" t="s">
        <v>423</v>
      </c>
      <c r="B18" s="9">
        <f>'Intermediate Results'!C12</f>
        <v>2.7639999999999998</v>
      </c>
      <c r="C18" s="11">
        <f t="shared" si="0"/>
        <v>10.85383502170767</v>
      </c>
      <c r="D18" s="11">
        <f t="shared" si="1"/>
        <v>7.5</v>
      </c>
      <c r="E18" s="10"/>
      <c r="F18" s="12" t="s">
        <v>239</v>
      </c>
      <c r="G18" s="11">
        <f t="shared" si="2"/>
        <v>3.3538350217076704</v>
      </c>
      <c r="H18" s="11">
        <f t="shared" si="3"/>
        <v>1.4471780028943562</v>
      </c>
      <c r="I18" s="13">
        <f t="shared" si="4"/>
        <v>20.729999999999997</v>
      </c>
    </row>
    <row r="19" spans="1:9" x14ac:dyDescent="0.2">
      <c r="A19" s="64" t="s">
        <v>424</v>
      </c>
      <c r="B19" s="9">
        <f>'Intermediate Results'!C13</f>
        <v>1.296</v>
      </c>
      <c r="C19" s="11">
        <f t="shared" si="0"/>
        <v>23.148148148148149</v>
      </c>
      <c r="D19" s="11">
        <f t="shared" si="1"/>
        <v>7.5</v>
      </c>
      <c r="E19" s="10"/>
      <c r="F19" s="12" t="s">
        <v>240</v>
      </c>
      <c r="G19" s="11">
        <f t="shared" si="2"/>
        <v>15.648148148148149</v>
      </c>
      <c r="H19" s="11">
        <f t="shared" si="3"/>
        <v>3.0864197530864197</v>
      </c>
      <c r="I19" s="13">
        <f t="shared" si="4"/>
        <v>9.7200000000000006</v>
      </c>
    </row>
    <row r="20" spans="1:9" x14ac:dyDescent="0.2">
      <c r="A20" s="64" t="s">
        <v>425</v>
      </c>
      <c r="B20" s="9">
        <f>'Intermediate Results'!C14</f>
        <v>1.6879999999999999</v>
      </c>
      <c r="C20" s="11">
        <f t="shared" si="0"/>
        <v>17.772511848341232</v>
      </c>
      <c r="D20" s="11">
        <f t="shared" si="1"/>
        <v>7.5</v>
      </c>
      <c r="E20" s="10"/>
      <c r="F20" s="12" t="s">
        <v>241</v>
      </c>
      <c r="G20" s="11">
        <f t="shared" si="2"/>
        <v>10.272511848341232</v>
      </c>
      <c r="H20" s="11">
        <f t="shared" si="3"/>
        <v>2.3696682464454977</v>
      </c>
      <c r="I20" s="13">
        <f t="shared" si="4"/>
        <v>12.66</v>
      </c>
    </row>
    <row r="21" spans="1:9" x14ac:dyDescent="0.2">
      <c r="A21" s="64" t="s">
        <v>426</v>
      </c>
      <c r="B21" s="9">
        <f>'Intermediate Results'!C15</f>
        <v>2.0219999999999998</v>
      </c>
      <c r="C21" s="11">
        <f t="shared" si="0"/>
        <v>14.836795252225521</v>
      </c>
      <c r="D21" s="11">
        <f t="shared" si="1"/>
        <v>7.5</v>
      </c>
      <c r="E21" s="10"/>
      <c r="F21" s="12" t="s">
        <v>242</v>
      </c>
      <c r="G21" s="11">
        <f t="shared" si="2"/>
        <v>7.3367952522255209</v>
      </c>
      <c r="H21" s="11">
        <f t="shared" si="3"/>
        <v>1.9782393669634029</v>
      </c>
      <c r="I21" s="13">
        <f t="shared" si="4"/>
        <v>15.164999999999999</v>
      </c>
    </row>
    <row r="22" spans="1:9" x14ac:dyDescent="0.2">
      <c r="A22" s="64" t="s">
        <v>427</v>
      </c>
      <c r="B22" s="9">
        <f>'Intermediate Results'!C16</f>
        <v>1.2410000000000001</v>
      </c>
      <c r="C22" s="11">
        <f t="shared" si="0"/>
        <v>24.174053182917</v>
      </c>
      <c r="D22" s="11">
        <f t="shared" si="1"/>
        <v>7.5</v>
      </c>
      <c r="E22" s="10"/>
      <c r="F22" s="12" t="s">
        <v>243</v>
      </c>
      <c r="G22" s="11">
        <f t="shared" si="2"/>
        <v>16.674053182917</v>
      </c>
      <c r="H22" s="11">
        <f t="shared" si="3"/>
        <v>3.2232070910555999</v>
      </c>
      <c r="I22" s="13">
        <f t="shared" si="4"/>
        <v>9.307500000000001</v>
      </c>
    </row>
    <row r="23" spans="1:9" x14ac:dyDescent="0.2">
      <c r="A23" s="64" t="s">
        <v>428</v>
      </c>
      <c r="B23" s="9">
        <f>'Intermediate Results'!C17</f>
        <v>1.58</v>
      </c>
      <c r="C23" s="11">
        <f t="shared" si="0"/>
        <v>18.987341772151897</v>
      </c>
      <c r="D23" s="11">
        <f t="shared" si="1"/>
        <v>7.5</v>
      </c>
      <c r="E23" s="10"/>
      <c r="F23" s="12" t="s">
        <v>244</v>
      </c>
      <c r="G23" s="11">
        <f t="shared" si="2"/>
        <v>11.487341772151897</v>
      </c>
      <c r="H23" s="11">
        <f t="shared" si="3"/>
        <v>2.5316455696202529</v>
      </c>
      <c r="I23" s="13">
        <f t="shared" si="4"/>
        <v>11.850000000000001</v>
      </c>
    </row>
    <row r="24" spans="1:9" x14ac:dyDescent="0.2">
      <c r="A24" s="64" t="s">
        <v>429</v>
      </c>
      <c r="B24" s="9">
        <f>'Intermediate Results'!C18</f>
        <v>1.8979999999999999</v>
      </c>
      <c r="C24" s="11">
        <f t="shared" si="0"/>
        <v>15.806111696522656</v>
      </c>
      <c r="D24" s="11">
        <f t="shared" si="1"/>
        <v>7.5</v>
      </c>
      <c r="E24" s="10"/>
      <c r="F24" s="12" t="s">
        <v>245</v>
      </c>
      <c r="G24" s="11">
        <f t="shared" si="2"/>
        <v>8.306111696522656</v>
      </c>
      <c r="H24" s="11">
        <f t="shared" si="3"/>
        <v>2.1074815595363541</v>
      </c>
      <c r="I24" s="13">
        <f t="shared" si="4"/>
        <v>14.234999999999999</v>
      </c>
    </row>
    <row r="25" spans="1:9" x14ac:dyDescent="0.2">
      <c r="A25" s="64" t="s">
        <v>430</v>
      </c>
      <c r="B25" s="9">
        <f>'Intermediate Results'!C19</f>
        <v>4.3410000000000002</v>
      </c>
      <c r="C25" s="11">
        <f t="shared" si="0"/>
        <v>6.9108500345542501</v>
      </c>
      <c r="D25" s="11">
        <f t="shared" si="1"/>
        <v>6.9108500345542501</v>
      </c>
      <c r="E25" s="10"/>
      <c r="F25" s="12" t="s">
        <v>246</v>
      </c>
      <c r="G25" s="11">
        <f t="shared" si="2"/>
        <v>0</v>
      </c>
      <c r="H25" s="11">
        <f t="shared" si="3"/>
        <v>1</v>
      </c>
      <c r="I25" s="13">
        <f t="shared" si="4"/>
        <v>30</v>
      </c>
    </row>
    <row r="26" spans="1:9" x14ac:dyDescent="0.2">
      <c r="A26" s="64" t="s">
        <v>431</v>
      </c>
      <c r="B26" s="9">
        <f>'Intermediate Results'!C20</f>
        <v>1.6519999999999999</v>
      </c>
      <c r="C26" s="11">
        <f t="shared" si="0"/>
        <v>18.159806295399516</v>
      </c>
      <c r="D26" s="11">
        <f t="shared" si="1"/>
        <v>7.5</v>
      </c>
      <c r="E26" s="10"/>
      <c r="F26" s="12" t="s">
        <v>247</v>
      </c>
      <c r="G26" s="11">
        <f t="shared" si="2"/>
        <v>10.659806295399516</v>
      </c>
      <c r="H26" s="11">
        <f t="shared" si="3"/>
        <v>2.4213075060532687</v>
      </c>
      <c r="I26" s="13">
        <f t="shared" si="4"/>
        <v>12.389999999999999</v>
      </c>
    </row>
    <row r="27" spans="1:9" x14ac:dyDescent="0.2">
      <c r="A27" s="64" t="s">
        <v>432</v>
      </c>
      <c r="B27" s="9">
        <f>'Intermediate Results'!C21</f>
        <v>1.8819999999999999</v>
      </c>
      <c r="C27" s="11">
        <f t="shared" si="0"/>
        <v>15.940488841657812</v>
      </c>
      <c r="D27" s="11">
        <f t="shared" si="1"/>
        <v>7.5</v>
      </c>
      <c r="E27" s="10"/>
      <c r="F27" s="12" t="s">
        <v>248</v>
      </c>
      <c r="G27" s="11">
        <f t="shared" si="2"/>
        <v>8.4404888416578121</v>
      </c>
      <c r="H27" s="11">
        <f t="shared" si="3"/>
        <v>2.1253985122210417</v>
      </c>
      <c r="I27" s="13">
        <f t="shared" si="4"/>
        <v>14.114999999999998</v>
      </c>
    </row>
    <row r="28" spans="1:9" x14ac:dyDescent="0.2">
      <c r="A28" s="64" t="s">
        <v>433</v>
      </c>
      <c r="B28" s="9">
        <f>'Intermediate Results'!C22</f>
        <v>2.85</v>
      </c>
      <c r="C28" s="11">
        <f t="shared" si="0"/>
        <v>10.526315789473683</v>
      </c>
      <c r="D28" s="11">
        <f t="shared" si="1"/>
        <v>7.5</v>
      </c>
      <c r="E28" s="10"/>
      <c r="F28" s="12" t="s">
        <v>249</v>
      </c>
      <c r="G28" s="11">
        <f t="shared" si="2"/>
        <v>3.0263157894736832</v>
      </c>
      <c r="H28" s="11">
        <f t="shared" si="3"/>
        <v>1.4035087719298245</v>
      </c>
      <c r="I28" s="13">
        <f t="shared" si="4"/>
        <v>21.375</v>
      </c>
    </row>
    <row r="29" spans="1:9" x14ac:dyDescent="0.2">
      <c r="A29" s="64" t="s">
        <v>434</v>
      </c>
      <c r="B29" s="9">
        <f>'Intermediate Results'!C23</f>
        <v>4.0670000000000002</v>
      </c>
      <c r="C29" s="11">
        <f t="shared" si="0"/>
        <v>7.3764445537251042</v>
      </c>
      <c r="D29" s="11">
        <f t="shared" si="1"/>
        <v>7.3764445537251042</v>
      </c>
      <c r="E29" s="10"/>
      <c r="F29" s="12" t="s">
        <v>250</v>
      </c>
      <c r="G29" s="11">
        <f t="shared" si="2"/>
        <v>0</v>
      </c>
      <c r="H29" s="11">
        <f t="shared" si="3"/>
        <v>1</v>
      </c>
      <c r="I29" s="13">
        <f t="shared" si="4"/>
        <v>30</v>
      </c>
    </row>
    <row r="30" spans="1:9" x14ac:dyDescent="0.2">
      <c r="A30" s="64" t="s">
        <v>435</v>
      </c>
      <c r="B30" s="9">
        <f>'Intermediate Results'!C24</f>
        <v>3.3220000000000001</v>
      </c>
      <c r="C30" s="11">
        <f t="shared" si="0"/>
        <v>9.0307043949428056</v>
      </c>
      <c r="D30" s="11">
        <f t="shared" si="1"/>
        <v>7.5</v>
      </c>
      <c r="E30" s="10"/>
      <c r="F30" s="12" t="s">
        <v>251</v>
      </c>
      <c r="G30" s="11">
        <f t="shared" si="2"/>
        <v>1.5307043949428056</v>
      </c>
      <c r="H30" s="11">
        <f t="shared" si="3"/>
        <v>1.2040939193257074</v>
      </c>
      <c r="I30" s="13">
        <f t="shared" si="4"/>
        <v>24.914999999999999</v>
      </c>
    </row>
    <row r="31" spans="1:9" x14ac:dyDescent="0.2">
      <c r="A31" s="64" t="s">
        <v>436</v>
      </c>
      <c r="B31" s="9">
        <f>'Intermediate Results'!C25</f>
        <v>2.0640000000000001</v>
      </c>
      <c r="C31" s="11">
        <f t="shared" si="0"/>
        <v>14.534883720930232</v>
      </c>
      <c r="D31" s="11">
        <f t="shared" si="1"/>
        <v>7.5</v>
      </c>
      <c r="E31" s="10"/>
      <c r="F31" s="12" t="s">
        <v>252</v>
      </c>
      <c r="G31" s="11">
        <f t="shared" si="2"/>
        <v>7.0348837209302317</v>
      </c>
      <c r="H31" s="11">
        <f t="shared" si="3"/>
        <v>1.9379844961240309</v>
      </c>
      <c r="I31" s="13">
        <f t="shared" si="4"/>
        <v>15.48</v>
      </c>
    </row>
    <row r="32" spans="1:9" x14ac:dyDescent="0.2">
      <c r="A32" s="64" t="s">
        <v>437</v>
      </c>
      <c r="B32" s="9">
        <f>'Intermediate Results'!C26</f>
        <v>3.0920000000000001</v>
      </c>
      <c r="C32" s="11">
        <f t="shared" si="0"/>
        <v>9.7024579560155235</v>
      </c>
      <c r="D32" s="11">
        <f t="shared" si="1"/>
        <v>7.5</v>
      </c>
      <c r="E32" s="10"/>
      <c r="F32" s="12" t="s">
        <v>253</v>
      </c>
      <c r="G32" s="11">
        <f t="shared" si="2"/>
        <v>2.2024579560155235</v>
      </c>
      <c r="H32" s="11">
        <f t="shared" si="3"/>
        <v>1.2936610608020698</v>
      </c>
      <c r="I32" s="13">
        <f t="shared" si="4"/>
        <v>23.19</v>
      </c>
    </row>
    <row r="33" spans="1:9" x14ac:dyDescent="0.2">
      <c r="A33" s="64" t="s">
        <v>438</v>
      </c>
      <c r="B33" s="9">
        <f>'Intermediate Results'!C27</f>
        <v>4.1619999999999999</v>
      </c>
      <c r="C33" s="11">
        <f t="shared" si="0"/>
        <v>7.2080730418068235</v>
      </c>
      <c r="D33" s="11">
        <f t="shared" si="1"/>
        <v>7.2080730418068235</v>
      </c>
      <c r="E33" s="10"/>
      <c r="F33" s="12" t="s">
        <v>254</v>
      </c>
      <c r="G33" s="11">
        <f t="shared" si="2"/>
        <v>0</v>
      </c>
      <c r="H33" s="11">
        <f t="shared" si="3"/>
        <v>1</v>
      </c>
      <c r="I33" s="13">
        <f t="shared" si="4"/>
        <v>30</v>
      </c>
    </row>
    <row r="34" spans="1:9" x14ac:dyDescent="0.2">
      <c r="A34" s="64" t="s">
        <v>439</v>
      </c>
      <c r="B34" s="9">
        <f>'Intermediate Results'!C28</f>
        <v>4.5209999999999999</v>
      </c>
      <c r="C34" s="11">
        <f t="shared" si="0"/>
        <v>6.6357000663570007</v>
      </c>
      <c r="D34" s="11">
        <f t="shared" si="1"/>
        <v>6.6357000663570007</v>
      </c>
      <c r="E34" s="10"/>
      <c r="F34" s="12" t="s">
        <v>255</v>
      </c>
      <c r="G34" s="11">
        <f t="shared" si="2"/>
        <v>0</v>
      </c>
      <c r="H34" s="11">
        <f t="shared" si="3"/>
        <v>1</v>
      </c>
      <c r="I34" s="13">
        <f t="shared" si="4"/>
        <v>30</v>
      </c>
    </row>
    <row r="35" spans="1:9" x14ac:dyDescent="0.2">
      <c r="A35" s="64" t="s">
        <v>440</v>
      </c>
      <c r="B35" s="9">
        <f>'Intermediate Results'!C29</f>
        <v>3.129</v>
      </c>
      <c r="C35" s="11">
        <f t="shared" si="0"/>
        <v>9.5877277085330768</v>
      </c>
      <c r="D35" s="11">
        <f t="shared" si="1"/>
        <v>7.5</v>
      </c>
      <c r="E35" s="10"/>
      <c r="F35" s="12" t="s">
        <v>256</v>
      </c>
      <c r="G35" s="11">
        <f t="shared" si="2"/>
        <v>2.0877277085330768</v>
      </c>
      <c r="H35" s="11">
        <f t="shared" si="3"/>
        <v>1.278363694471077</v>
      </c>
      <c r="I35" s="13">
        <f t="shared" si="4"/>
        <v>23.467500000000001</v>
      </c>
    </row>
    <row r="36" spans="1:9" x14ac:dyDescent="0.2">
      <c r="A36" s="64" t="s">
        <v>441</v>
      </c>
      <c r="B36" s="9">
        <f>'Intermediate Results'!C30</f>
        <v>4.9809999999999999</v>
      </c>
      <c r="C36" s="11">
        <f t="shared" si="0"/>
        <v>6.0228869704878543</v>
      </c>
      <c r="D36" s="11">
        <f t="shared" si="1"/>
        <v>6.0228869704878543</v>
      </c>
      <c r="E36" s="10"/>
      <c r="F36" s="12" t="s">
        <v>257</v>
      </c>
      <c r="G36" s="11">
        <f t="shared" si="2"/>
        <v>0</v>
      </c>
      <c r="H36" s="11">
        <f t="shared" si="3"/>
        <v>1</v>
      </c>
      <c r="I36" s="13">
        <f t="shared" si="4"/>
        <v>30</v>
      </c>
    </row>
    <row r="37" spans="1:9" x14ac:dyDescent="0.2">
      <c r="A37" s="64" t="s">
        <v>442</v>
      </c>
      <c r="B37" s="9">
        <f>'Intermediate Results'!C31</f>
        <v>6.06</v>
      </c>
      <c r="C37" s="11">
        <f t="shared" si="0"/>
        <v>4.9504950495049505</v>
      </c>
      <c r="D37" s="11">
        <f t="shared" si="1"/>
        <v>4.9504950495049505</v>
      </c>
      <c r="E37" s="10"/>
      <c r="F37" s="12" t="s">
        <v>258</v>
      </c>
      <c r="G37" s="11">
        <f t="shared" si="2"/>
        <v>0</v>
      </c>
      <c r="H37" s="11">
        <f t="shared" si="3"/>
        <v>1</v>
      </c>
      <c r="I37" s="13">
        <f t="shared" si="4"/>
        <v>29.999999999999996</v>
      </c>
    </row>
    <row r="38" spans="1:9" x14ac:dyDescent="0.2">
      <c r="A38" s="64" t="s">
        <v>443</v>
      </c>
      <c r="B38" s="9">
        <f>'Intermediate Results'!C32</f>
        <v>4.7300000000000004</v>
      </c>
      <c r="C38" s="11">
        <f t="shared" si="0"/>
        <v>6.3424947145877368</v>
      </c>
      <c r="D38" s="11">
        <f t="shared" si="1"/>
        <v>6.3424947145877368</v>
      </c>
      <c r="E38" s="10"/>
      <c r="F38" s="12" t="s">
        <v>259</v>
      </c>
      <c r="G38" s="11">
        <f t="shared" si="2"/>
        <v>0</v>
      </c>
      <c r="H38" s="11">
        <f t="shared" si="3"/>
        <v>1</v>
      </c>
      <c r="I38" s="13">
        <f t="shared" si="4"/>
        <v>29.999999999999996</v>
      </c>
    </row>
    <row r="39" spans="1:9" x14ac:dyDescent="0.2">
      <c r="A39" s="64" t="s">
        <v>444</v>
      </c>
      <c r="B39" s="9">
        <f>'Intermediate Results'!C33</f>
        <v>3.9580000000000002</v>
      </c>
      <c r="C39" s="11">
        <f t="shared" si="0"/>
        <v>7.5795856493178366</v>
      </c>
      <c r="D39" s="11">
        <f t="shared" si="1"/>
        <v>7.5</v>
      </c>
      <c r="E39" s="10"/>
      <c r="F39" s="12" t="s">
        <v>260</v>
      </c>
      <c r="G39" s="11">
        <f t="shared" si="2"/>
        <v>7.9585649317836626E-2</v>
      </c>
      <c r="H39" s="11">
        <f t="shared" si="3"/>
        <v>1.0106114199090448</v>
      </c>
      <c r="I39" s="13">
        <f t="shared" si="4"/>
        <v>29.685000000000002</v>
      </c>
    </row>
    <row r="40" spans="1:9" x14ac:dyDescent="0.2">
      <c r="A40" s="64" t="s">
        <v>445</v>
      </c>
      <c r="B40" s="9">
        <f>'Intermediate Results'!C34</f>
        <v>4.5650000000000004</v>
      </c>
      <c r="C40" s="11">
        <f t="shared" si="0"/>
        <v>6.5717415115005471</v>
      </c>
      <c r="D40" s="11">
        <f t="shared" si="1"/>
        <v>6.5717415115005471</v>
      </c>
      <c r="E40" s="10"/>
      <c r="F40" s="12" t="s">
        <v>261</v>
      </c>
      <c r="G40" s="11">
        <f t="shared" si="2"/>
        <v>0</v>
      </c>
      <c r="H40" s="11">
        <f t="shared" si="3"/>
        <v>1</v>
      </c>
      <c r="I40" s="13">
        <f t="shared" si="4"/>
        <v>30</v>
      </c>
    </row>
    <row r="41" spans="1:9" x14ac:dyDescent="0.2">
      <c r="A41" s="64" t="s">
        <v>446</v>
      </c>
      <c r="B41" s="9">
        <f>'Intermediate Results'!C35</f>
        <v>5.9409999999999998</v>
      </c>
      <c r="C41" s="11">
        <f t="shared" si="0"/>
        <v>5.04965494024575</v>
      </c>
      <c r="D41" s="11">
        <f t="shared" si="1"/>
        <v>5.04965494024575</v>
      </c>
      <c r="E41" s="10"/>
      <c r="F41" s="12" t="s">
        <v>262</v>
      </c>
      <c r="G41" s="11">
        <f t="shared" si="2"/>
        <v>0</v>
      </c>
      <c r="H41" s="11">
        <f t="shared" si="3"/>
        <v>1</v>
      </c>
      <c r="I41" s="13">
        <f t="shared" si="4"/>
        <v>30</v>
      </c>
    </row>
    <row r="42" spans="1:9" x14ac:dyDescent="0.2">
      <c r="A42" s="64" t="s">
        <v>447</v>
      </c>
      <c r="B42" s="9">
        <f>'Intermediate Results'!C36</f>
        <v>1.45</v>
      </c>
      <c r="C42" s="11">
        <f t="shared" si="0"/>
        <v>20.689655172413794</v>
      </c>
      <c r="D42" s="11">
        <f t="shared" si="1"/>
        <v>7.5</v>
      </c>
      <c r="E42" s="10"/>
      <c r="F42" s="12" t="s">
        <v>42</v>
      </c>
      <c r="G42" s="11">
        <f t="shared" si="2"/>
        <v>13.189655172413794</v>
      </c>
      <c r="H42" s="11">
        <f t="shared" si="3"/>
        <v>2.7586206896551726</v>
      </c>
      <c r="I42" s="13">
        <f t="shared" si="4"/>
        <v>10.875</v>
      </c>
    </row>
    <row r="43" spans="1:9" x14ac:dyDescent="0.2">
      <c r="A43" s="64" t="s">
        <v>448</v>
      </c>
      <c r="B43" s="9">
        <f>'Intermediate Results'!C37</f>
        <v>0.96499999999999997</v>
      </c>
      <c r="C43" s="11">
        <f t="shared" si="0"/>
        <v>31.088082901554404</v>
      </c>
      <c r="D43" s="11">
        <f t="shared" si="1"/>
        <v>7.5</v>
      </c>
      <c r="E43" s="10"/>
      <c r="F43" s="12" t="s">
        <v>43</v>
      </c>
      <c r="G43" s="11">
        <f t="shared" si="2"/>
        <v>23.588082901554404</v>
      </c>
      <c r="H43" s="11">
        <f t="shared" si="3"/>
        <v>4.1450777202072535</v>
      </c>
      <c r="I43" s="13">
        <f t="shared" si="4"/>
        <v>7.2374999999999998</v>
      </c>
    </row>
    <row r="44" spans="1:9" x14ac:dyDescent="0.2">
      <c r="A44" s="64" t="s">
        <v>449</v>
      </c>
      <c r="B44" s="9">
        <f>'Intermediate Results'!C38</f>
        <v>1.4910000000000001</v>
      </c>
      <c r="C44" s="11">
        <f t="shared" si="0"/>
        <v>20.120724346076457</v>
      </c>
      <c r="D44" s="11">
        <f t="shared" si="1"/>
        <v>7.5</v>
      </c>
      <c r="E44" s="10"/>
      <c r="F44" s="12" t="s">
        <v>44</v>
      </c>
      <c r="G44" s="11">
        <f t="shared" si="2"/>
        <v>12.620724346076457</v>
      </c>
      <c r="H44" s="11">
        <f t="shared" si="3"/>
        <v>2.6827632461435278</v>
      </c>
      <c r="I44" s="13">
        <f t="shared" si="4"/>
        <v>11.182500000000001</v>
      </c>
    </row>
    <row r="45" spans="1:9" x14ac:dyDescent="0.2">
      <c r="A45" s="64" t="s">
        <v>450</v>
      </c>
      <c r="B45" s="9">
        <f>'Intermediate Results'!C39</f>
        <v>2.0499999999999998</v>
      </c>
      <c r="C45" s="11">
        <f t="shared" si="0"/>
        <v>14.634146341463415</v>
      </c>
      <c r="D45" s="11">
        <f t="shared" si="1"/>
        <v>7.5</v>
      </c>
      <c r="E45" s="10"/>
      <c r="F45" s="12" t="s">
        <v>45</v>
      </c>
      <c r="G45" s="11">
        <f t="shared" si="2"/>
        <v>7.1341463414634152</v>
      </c>
      <c r="H45" s="11">
        <f t="shared" si="3"/>
        <v>1.9512195121951221</v>
      </c>
      <c r="I45" s="13">
        <f t="shared" si="4"/>
        <v>15.374999999999998</v>
      </c>
    </row>
    <row r="46" spans="1:9" x14ac:dyDescent="0.2">
      <c r="A46" s="64" t="s">
        <v>451</v>
      </c>
      <c r="B46" s="9">
        <f>'Intermediate Results'!C40</f>
        <v>2.6259999999999999</v>
      </c>
      <c r="C46" s="11">
        <f t="shared" si="0"/>
        <v>11.424219345011425</v>
      </c>
      <c r="D46" s="11">
        <f t="shared" si="1"/>
        <v>7.5</v>
      </c>
      <c r="E46" s="10"/>
      <c r="F46" s="12" t="s">
        <v>46</v>
      </c>
      <c r="G46" s="11">
        <f t="shared" si="2"/>
        <v>3.9242193450114247</v>
      </c>
      <c r="H46" s="11">
        <f t="shared" si="3"/>
        <v>1.5232292460015233</v>
      </c>
      <c r="I46" s="13">
        <f t="shared" si="4"/>
        <v>19.695</v>
      </c>
    </row>
    <row r="47" spans="1:9" x14ac:dyDescent="0.2">
      <c r="A47" s="64" t="s">
        <v>452</v>
      </c>
      <c r="B47" s="9">
        <f>'Intermediate Results'!C41</f>
        <v>2.887</v>
      </c>
      <c r="C47" s="11">
        <f t="shared" si="0"/>
        <v>10.391409767925182</v>
      </c>
      <c r="D47" s="11">
        <f t="shared" si="1"/>
        <v>7.5</v>
      </c>
      <c r="E47" s="10"/>
      <c r="F47" s="12" t="s">
        <v>47</v>
      </c>
      <c r="G47" s="11">
        <f t="shared" si="2"/>
        <v>2.8914097679251825</v>
      </c>
      <c r="H47" s="11">
        <f t="shared" si="3"/>
        <v>1.3855213023900244</v>
      </c>
      <c r="I47" s="13">
        <f t="shared" si="4"/>
        <v>21.6525</v>
      </c>
    </row>
    <row r="48" spans="1:9" x14ac:dyDescent="0.2">
      <c r="A48" s="64" t="s">
        <v>453</v>
      </c>
      <c r="B48" s="9">
        <f>'Intermediate Results'!C42</f>
        <v>3.121</v>
      </c>
      <c r="C48" s="11">
        <f t="shared" si="0"/>
        <v>9.6123037487984622</v>
      </c>
      <c r="D48" s="11">
        <f t="shared" si="1"/>
        <v>7.5</v>
      </c>
      <c r="E48" s="10"/>
      <c r="F48" s="12" t="s">
        <v>48</v>
      </c>
      <c r="G48" s="11">
        <f t="shared" si="2"/>
        <v>2.1123037487984622</v>
      </c>
      <c r="H48" s="11">
        <f t="shared" si="3"/>
        <v>1.281640499839795</v>
      </c>
      <c r="I48" s="13">
        <f t="shared" si="4"/>
        <v>23.407499999999999</v>
      </c>
    </row>
    <row r="49" spans="1:9" x14ac:dyDescent="0.2">
      <c r="A49" s="64" t="s">
        <v>454</v>
      </c>
      <c r="B49" s="9">
        <f>'Intermediate Results'!C43</f>
        <v>5.9569999999999999</v>
      </c>
      <c r="C49" s="11">
        <f t="shared" si="0"/>
        <v>5.0360919926137315</v>
      </c>
      <c r="D49" s="11">
        <f t="shared" si="1"/>
        <v>5.0360919926137315</v>
      </c>
      <c r="E49" s="10"/>
      <c r="F49" s="12" t="s">
        <v>49</v>
      </c>
      <c r="G49" s="11">
        <f t="shared" si="2"/>
        <v>0</v>
      </c>
      <c r="H49" s="11">
        <f t="shared" si="3"/>
        <v>1</v>
      </c>
      <c r="I49" s="13">
        <f t="shared" si="4"/>
        <v>29.999999999999996</v>
      </c>
    </row>
    <row r="50" spans="1:9" x14ac:dyDescent="0.2">
      <c r="A50" s="64" t="s">
        <v>455</v>
      </c>
      <c r="B50" s="9">
        <f>'Intermediate Results'!C44</f>
        <v>4.4770000000000003</v>
      </c>
      <c r="C50" s="11">
        <f t="shared" si="0"/>
        <v>6.7009157918248823</v>
      </c>
      <c r="D50" s="11">
        <f t="shared" si="1"/>
        <v>6.7009157918248823</v>
      </c>
      <c r="E50" s="10"/>
      <c r="F50" s="12" t="s">
        <v>263</v>
      </c>
      <c r="G50" s="11">
        <f t="shared" si="2"/>
        <v>0</v>
      </c>
      <c r="H50" s="11">
        <f t="shared" si="3"/>
        <v>1</v>
      </c>
      <c r="I50" s="13">
        <f t="shared" si="4"/>
        <v>30</v>
      </c>
    </row>
    <row r="51" spans="1:9" x14ac:dyDescent="0.2">
      <c r="A51" s="64" t="s">
        <v>456</v>
      </c>
      <c r="B51" s="9">
        <f>'Intermediate Results'!C45</f>
        <v>3.262</v>
      </c>
      <c r="C51" s="11">
        <f t="shared" si="0"/>
        <v>9.1968117719190676</v>
      </c>
      <c r="D51" s="11">
        <f t="shared" si="1"/>
        <v>7.5</v>
      </c>
      <c r="E51" s="10"/>
      <c r="F51" s="12" t="s">
        <v>264</v>
      </c>
      <c r="G51" s="11">
        <f t="shared" si="2"/>
        <v>1.6968117719190676</v>
      </c>
      <c r="H51" s="11">
        <f t="shared" si="3"/>
        <v>1.226241569589209</v>
      </c>
      <c r="I51" s="13">
        <f t="shared" si="4"/>
        <v>24.465</v>
      </c>
    </row>
    <row r="52" spans="1:9" x14ac:dyDescent="0.2">
      <c r="A52" s="64" t="s">
        <v>457</v>
      </c>
      <c r="B52" s="9">
        <f>'Intermediate Results'!C46</f>
        <v>3.2109999999999999</v>
      </c>
      <c r="C52" s="11">
        <f t="shared" si="0"/>
        <v>9.3428838368109624</v>
      </c>
      <c r="D52" s="11">
        <f t="shared" si="1"/>
        <v>7.5</v>
      </c>
      <c r="E52" s="10"/>
      <c r="F52" s="12" t="s">
        <v>265</v>
      </c>
      <c r="G52" s="11">
        <f t="shared" si="2"/>
        <v>1.8428838368109624</v>
      </c>
      <c r="H52" s="11">
        <f t="shared" si="3"/>
        <v>1.2457178449081283</v>
      </c>
      <c r="I52" s="13">
        <f t="shared" si="4"/>
        <v>24.0825</v>
      </c>
    </row>
    <row r="53" spans="1:9" x14ac:dyDescent="0.2">
      <c r="A53" s="64" t="s">
        <v>458</v>
      </c>
      <c r="B53" s="9">
        <f>'Intermediate Results'!C47</f>
        <v>5.1159999999999997</v>
      </c>
      <c r="C53" s="11">
        <f t="shared" si="0"/>
        <v>5.8639562157935892</v>
      </c>
      <c r="D53" s="11">
        <f t="shared" si="1"/>
        <v>5.8639562157935892</v>
      </c>
      <c r="E53" s="10"/>
      <c r="F53" s="12" t="s">
        <v>266</v>
      </c>
      <c r="G53" s="11">
        <f t="shared" si="2"/>
        <v>0</v>
      </c>
      <c r="H53" s="11">
        <f t="shared" si="3"/>
        <v>1</v>
      </c>
      <c r="I53" s="13">
        <f t="shared" si="4"/>
        <v>30</v>
      </c>
    </row>
    <row r="54" spans="1:9" x14ac:dyDescent="0.2">
      <c r="A54" s="64" t="s">
        <v>459</v>
      </c>
      <c r="B54" s="9">
        <f>'Intermediate Results'!C48</f>
        <v>5.681</v>
      </c>
      <c r="C54" s="11">
        <f t="shared" si="0"/>
        <v>5.2807604295018482</v>
      </c>
      <c r="D54" s="11">
        <f t="shared" si="1"/>
        <v>5.2807604295018482</v>
      </c>
      <c r="E54" s="10"/>
      <c r="F54" s="12" t="s">
        <v>267</v>
      </c>
      <c r="G54" s="11">
        <f t="shared" si="2"/>
        <v>0</v>
      </c>
      <c r="H54" s="11">
        <f t="shared" si="3"/>
        <v>1</v>
      </c>
      <c r="I54" s="13">
        <f t="shared" si="4"/>
        <v>30</v>
      </c>
    </row>
    <row r="55" spans="1:9" x14ac:dyDescent="0.2">
      <c r="A55" s="64" t="s">
        <v>460</v>
      </c>
      <c r="B55" s="9">
        <f>'Intermediate Results'!C49</f>
        <v>4.5659999999999998</v>
      </c>
      <c r="C55" s="11">
        <f t="shared" si="0"/>
        <v>6.5703022339027601</v>
      </c>
      <c r="D55" s="11">
        <f t="shared" si="1"/>
        <v>6.5703022339027601</v>
      </c>
      <c r="E55" s="10"/>
      <c r="F55" s="12" t="s">
        <v>268</v>
      </c>
      <c r="G55" s="11">
        <f t="shared" si="2"/>
        <v>0</v>
      </c>
      <c r="H55" s="11">
        <f t="shared" si="3"/>
        <v>1</v>
      </c>
      <c r="I55" s="13">
        <f t="shared" si="4"/>
        <v>30</v>
      </c>
    </row>
    <row r="56" spans="1:9" x14ac:dyDescent="0.2">
      <c r="A56" s="64" t="s">
        <v>461</v>
      </c>
      <c r="B56" s="9">
        <f>'Intermediate Results'!C50</f>
        <v>4.7750000000000004</v>
      </c>
      <c r="C56" s="11">
        <f t="shared" si="0"/>
        <v>6.2827225130890048</v>
      </c>
      <c r="D56" s="11">
        <f t="shared" si="1"/>
        <v>6.2827225130890048</v>
      </c>
      <c r="E56" s="10"/>
      <c r="F56" s="12" t="s">
        <v>269</v>
      </c>
      <c r="G56" s="11">
        <f t="shared" si="2"/>
        <v>0</v>
      </c>
      <c r="H56" s="11">
        <f t="shared" si="3"/>
        <v>1</v>
      </c>
      <c r="I56" s="13">
        <f t="shared" si="4"/>
        <v>30</v>
      </c>
    </row>
    <row r="57" spans="1:9" x14ac:dyDescent="0.2">
      <c r="A57" s="64" t="s">
        <v>462</v>
      </c>
      <c r="B57" s="9">
        <f>'Intermediate Results'!C51</f>
        <v>5.9459999999999997</v>
      </c>
      <c r="C57" s="11">
        <f t="shared" si="0"/>
        <v>5.0454086781029268</v>
      </c>
      <c r="D57" s="11">
        <f t="shared" si="1"/>
        <v>5.0454086781029268</v>
      </c>
      <c r="E57" s="10"/>
      <c r="F57" s="12" t="s">
        <v>270</v>
      </c>
      <c r="G57" s="11">
        <f t="shared" si="2"/>
        <v>0</v>
      </c>
      <c r="H57" s="11">
        <f t="shared" si="3"/>
        <v>1</v>
      </c>
      <c r="I57" s="13">
        <f t="shared" si="4"/>
        <v>30</v>
      </c>
    </row>
    <row r="58" spans="1:9" x14ac:dyDescent="0.2">
      <c r="A58" s="64" t="s">
        <v>463</v>
      </c>
      <c r="B58" s="9">
        <f>'Intermediate Results'!C52</f>
        <v>5.9740000000000002</v>
      </c>
      <c r="C58" s="11">
        <f t="shared" si="0"/>
        <v>5.0217609641781049</v>
      </c>
      <c r="D58" s="11">
        <f t="shared" si="1"/>
        <v>5.0217609641781049</v>
      </c>
      <c r="E58" s="10"/>
      <c r="F58" s="12" t="s">
        <v>271</v>
      </c>
      <c r="G58" s="11">
        <f t="shared" si="2"/>
        <v>0</v>
      </c>
      <c r="H58" s="11">
        <f t="shared" si="3"/>
        <v>1</v>
      </c>
      <c r="I58" s="13">
        <f t="shared" si="4"/>
        <v>30</v>
      </c>
    </row>
    <row r="59" spans="1:9" x14ac:dyDescent="0.2">
      <c r="A59" s="64" t="s">
        <v>464</v>
      </c>
      <c r="B59" s="9">
        <f>'Intermediate Results'!C53</f>
        <v>6.157</v>
      </c>
      <c r="C59" s="11">
        <f t="shared" si="0"/>
        <v>4.8725028422933248</v>
      </c>
      <c r="D59" s="11">
        <f t="shared" si="1"/>
        <v>4.8725028422933248</v>
      </c>
      <c r="E59" s="10"/>
      <c r="F59" s="12" t="s">
        <v>272</v>
      </c>
      <c r="G59" s="11">
        <f t="shared" si="2"/>
        <v>0</v>
      </c>
      <c r="H59" s="11">
        <f t="shared" si="3"/>
        <v>1</v>
      </c>
      <c r="I59" s="13">
        <f t="shared" si="4"/>
        <v>30</v>
      </c>
    </row>
    <row r="60" spans="1:9" x14ac:dyDescent="0.2">
      <c r="A60" s="64" t="s">
        <v>465</v>
      </c>
      <c r="B60" s="9">
        <f>'Intermediate Results'!C54</f>
        <v>5.2619999999999996</v>
      </c>
      <c r="C60" s="11">
        <f t="shared" si="0"/>
        <v>5.7012542759407072</v>
      </c>
      <c r="D60" s="11">
        <f t="shared" si="1"/>
        <v>5.7012542759407072</v>
      </c>
      <c r="E60" s="10"/>
      <c r="F60" s="12" t="s">
        <v>273</v>
      </c>
      <c r="G60" s="11">
        <f t="shared" si="2"/>
        <v>0</v>
      </c>
      <c r="H60" s="11">
        <f t="shared" si="3"/>
        <v>1</v>
      </c>
      <c r="I60" s="13">
        <f t="shared" si="4"/>
        <v>30</v>
      </c>
    </row>
    <row r="61" spans="1:9" x14ac:dyDescent="0.2">
      <c r="A61" s="64" t="s">
        <v>466</v>
      </c>
      <c r="B61" s="9">
        <f>'Intermediate Results'!C55</f>
        <v>6.8970000000000002</v>
      </c>
      <c r="C61" s="11">
        <f t="shared" si="0"/>
        <v>4.3497172683775549</v>
      </c>
      <c r="D61" s="11">
        <f t="shared" si="1"/>
        <v>4.3497172683775549</v>
      </c>
      <c r="E61" s="10"/>
      <c r="F61" s="12" t="s">
        <v>274</v>
      </c>
      <c r="G61" s="11">
        <f t="shared" si="2"/>
        <v>0</v>
      </c>
      <c r="H61" s="11">
        <f t="shared" si="3"/>
        <v>1</v>
      </c>
      <c r="I61" s="13">
        <f t="shared" si="4"/>
        <v>29.999999999999996</v>
      </c>
    </row>
    <row r="62" spans="1:9" x14ac:dyDescent="0.2">
      <c r="A62" s="64" t="s">
        <v>467</v>
      </c>
      <c r="B62" s="9">
        <f>'Intermediate Results'!C56</f>
        <v>5.6639999999999997</v>
      </c>
      <c r="C62" s="11">
        <f t="shared" si="0"/>
        <v>5.296610169491526</v>
      </c>
      <c r="D62" s="11">
        <f t="shared" si="1"/>
        <v>5.296610169491526</v>
      </c>
      <c r="E62" s="10"/>
      <c r="F62" s="12" t="s">
        <v>275</v>
      </c>
      <c r="G62" s="11">
        <f t="shared" si="2"/>
        <v>0</v>
      </c>
      <c r="H62" s="11">
        <f t="shared" si="3"/>
        <v>1</v>
      </c>
      <c r="I62" s="13">
        <f t="shared" si="4"/>
        <v>30</v>
      </c>
    </row>
    <row r="63" spans="1:9" x14ac:dyDescent="0.2">
      <c r="A63" s="64" t="s">
        <v>468</v>
      </c>
      <c r="B63" s="9">
        <f>'Intermediate Results'!C57</f>
        <v>4.4530000000000003</v>
      </c>
      <c r="C63" s="11">
        <f t="shared" si="0"/>
        <v>6.737031214911295</v>
      </c>
      <c r="D63" s="11">
        <f t="shared" si="1"/>
        <v>6.737031214911295</v>
      </c>
      <c r="E63" s="10"/>
      <c r="F63" s="12" t="s">
        <v>276</v>
      </c>
      <c r="G63" s="11">
        <f t="shared" si="2"/>
        <v>0</v>
      </c>
      <c r="H63" s="11">
        <f t="shared" si="3"/>
        <v>1</v>
      </c>
      <c r="I63" s="13">
        <f t="shared" si="4"/>
        <v>30</v>
      </c>
    </row>
    <row r="64" spans="1:9" x14ac:dyDescent="0.2">
      <c r="A64" s="64" t="s">
        <v>469</v>
      </c>
      <c r="B64" s="9">
        <f>'Intermediate Results'!C58</f>
        <v>3.5790000000000002</v>
      </c>
      <c r="C64" s="11">
        <f t="shared" si="0"/>
        <v>8.3822296730930415</v>
      </c>
      <c r="D64" s="11">
        <f t="shared" si="1"/>
        <v>7.5</v>
      </c>
      <c r="E64" s="10"/>
      <c r="F64" s="12" t="s">
        <v>277</v>
      </c>
      <c r="G64" s="11">
        <f t="shared" si="2"/>
        <v>0.88222967309304146</v>
      </c>
      <c r="H64" s="11">
        <f t="shared" si="3"/>
        <v>1.1176306230790722</v>
      </c>
      <c r="I64" s="13">
        <f t="shared" si="4"/>
        <v>26.842500000000001</v>
      </c>
    </row>
    <row r="65" spans="1:9" x14ac:dyDescent="0.2">
      <c r="A65" s="64" t="s">
        <v>470</v>
      </c>
      <c r="B65" s="9">
        <f>'Intermediate Results'!C59</f>
        <v>5.5670000000000002</v>
      </c>
      <c r="C65" s="11">
        <f t="shared" si="0"/>
        <v>5.3888988683312373</v>
      </c>
      <c r="D65" s="11">
        <f t="shared" si="1"/>
        <v>5.3888988683312373</v>
      </c>
      <c r="E65" s="10"/>
      <c r="F65" s="12" t="s">
        <v>278</v>
      </c>
      <c r="G65" s="11">
        <f t="shared" si="2"/>
        <v>0</v>
      </c>
      <c r="H65" s="11">
        <f t="shared" si="3"/>
        <v>1</v>
      </c>
      <c r="I65" s="13">
        <f t="shared" si="4"/>
        <v>30</v>
      </c>
    </row>
    <row r="66" spans="1:9" x14ac:dyDescent="0.2">
      <c r="A66" s="64" t="s">
        <v>471</v>
      </c>
      <c r="B66" s="9">
        <f>'Intermediate Results'!C60</f>
        <v>6.21</v>
      </c>
      <c r="C66" s="11">
        <f t="shared" si="0"/>
        <v>4.8309178743961354</v>
      </c>
      <c r="D66" s="11">
        <f t="shared" si="1"/>
        <v>4.8309178743961354</v>
      </c>
      <c r="E66" s="10"/>
      <c r="F66" s="12" t="s">
        <v>279</v>
      </c>
      <c r="G66" s="11">
        <f t="shared" si="2"/>
        <v>0</v>
      </c>
      <c r="H66" s="11">
        <f t="shared" si="3"/>
        <v>1</v>
      </c>
      <c r="I66" s="13">
        <f t="shared" si="4"/>
        <v>30</v>
      </c>
    </row>
    <row r="67" spans="1:9" x14ac:dyDescent="0.2">
      <c r="A67" s="64" t="s">
        <v>472</v>
      </c>
      <c r="B67" s="9">
        <f>'Intermediate Results'!C61</f>
        <v>4.3550000000000004</v>
      </c>
      <c r="C67" s="11">
        <f t="shared" si="0"/>
        <v>6.8886337543053955</v>
      </c>
      <c r="D67" s="11">
        <f t="shared" si="1"/>
        <v>6.8886337543053955</v>
      </c>
      <c r="E67" s="10"/>
      <c r="F67" s="12" t="s">
        <v>280</v>
      </c>
      <c r="G67" s="11">
        <f t="shared" si="2"/>
        <v>0</v>
      </c>
      <c r="H67" s="11">
        <f t="shared" si="3"/>
        <v>1</v>
      </c>
      <c r="I67" s="13">
        <f t="shared" si="4"/>
        <v>30</v>
      </c>
    </row>
    <row r="68" spans="1:9" x14ac:dyDescent="0.2">
      <c r="A68" s="64" t="s">
        <v>473</v>
      </c>
      <c r="B68" s="9">
        <f>'Intermediate Results'!C62</f>
        <v>4.7889999999999997</v>
      </c>
      <c r="C68" s="11">
        <f t="shared" si="0"/>
        <v>6.2643558154103154</v>
      </c>
      <c r="D68" s="11">
        <f t="shared" si="1"/>
        <v>6.2643558154103154</v>
      </c>
      <c r="E68" s="10"/>
      <c r="F68" s="12" t="s">
        <v>281</v>
      </c>
      <c r="G68" s="11">
        <f t="shared" si="2"/>
        <v>0</v>
      </c>
      <c r="H68" s="11">
        <f t="shared" si="3"/>
        <v>1</v>
      </c>
      <c r="I68" s="13">
        <f t="shared" si="4"/>
        <v>30</v>
      </c>
    </row>
    <row r="69" spans="1:9" x14ac:dyDescent="0.2">
      <c r="A69" s="64" t="s">
        <v>474</v>
      </c>
      <c r="B69" s="9">
        <f>'Intermediate Results'!C63</f>
        <v>6.157</v>
      </c>
      <c r="C69" s="11">
        <f t="shared" si="0"/>
        <v>4.8725028422933248</v>
      </c>
      <c r="D69" s="11">
        <f t="shared" si="1"/>
        <v>4.8725028422933248</v>
      </c>
      <c r="E69" s="10"/>
      <c r="F69" s="12" t="s">
        <v>282</v>
      </c>
      <c r="G69" s="11">
        <f t="shared" si="2"/>
        <v>0</v>
      </c>
      <c r="H69" s="11">
        <f t="shared" si="3"/>
        <v>1</v>
      </c>
      <c r="I69" s="13">
        <f t="shared" si="4"/>
        <v>30</v>
      </c>
    </row>
    <row r="70" spans="1:9" x14ac:dyDescent="0.2">
      <c r="A70" s="64" t="s">
        <v>475</v>
      </c>
      <c r="B70" s="9">
        <f>'Intermediate Results'!C64</f>
        <v>6.8630000000000004</v>
      </c>
      <c r="C70" s="11">
        <f t="shared" si="0"/>
        <v>4.3712662101121955</v>
      </c>
      <c r="D70" s="11">
        <f t="shared" si="1"/>
        <v>4.3712662101121955</v>
      </c>
      <c r="E70" s="10"/>
      <c r="F70" s="12" t="s">
        <v>283</v>
      </c>
      <c r="G70" s="11">
        <f t="shared" si="2"/>
        <v>0</v>
      </c>
      <c r="H70" s="11">
        <f t="shared" si="3"/>
        <v>1</v>
      </c>
      <c r="I70" s="13">
        <f t="shared" si="4"/>
        <v>30</v>
      </c>
    </row>
    <row r="71" spans="1:9" x14ac:dyDescent="0.2">
      <c r="A71" s="64" t="s">
        <v>476</v>
      </c>
      <c r="B71" s="9">
        <f>'Intermediate Results'!C65</f>
        <v>5.6920000000000002</v>
      </c>
      <c r="C71" s="11">
        <f t="shared" si="0"/>
        <v>5.2705551651440619</v>
      </c>
      <c r="D71" s="11">
        <f t="shared" si="1"/>
        <v>5.2705551651440619</v>
      </c>
      <c r="E71" s="10"/>
      <c r="F71" s="12" t="s">
        <v>284</v>
      </c>
      <c r="G71" s="11">
        <f t="shared" si="2"/>
        <v>0</v>
      </c>
      <c r="H71" s="11">
        <f t="shared" si="3"/>
        <v>1</v>
      </c>
      <c r="I71" s="13">
        <f t="shared" si="4"/>
        <v>30</v>
      </c>
    </row>
    <row r="72" spans="1:9" x14ac:dyDescent="0.2">
      <c r="A72" s="64" t="s">
        <v>477</v>
      </c>
      <c r="B72" s="9">
        <f>'Intermediate Results'!C66</f>
        <v>5.798</v>
      </c>
      <c r="C72" s="11">
        <f t="shared" si="0"/>
        <v>5.174197999310107</v>
      </c>
      <c r="D72" s="11">
        <f t="shared" si="1"/>
        <v>5.174197999310107</v>
      </c>
      <c r="E72" s="10"/>
      <c r="F72" s="12" t="s">
        <v>285</v>
      </c>
      <c r="G72" s="11">
        <f t="shared" si="2"/>
        <v>0</v>
      </c>
      <c r="H72" s="11">
        <f t="shared" si="3"/>
        <v>1</v>
      </c>
      <c r="I72" s="13">
        <f t="shared" si="4"/>
        <v>30</v>
      </c>
    </row>
    <row r="73" spans="1:9" x14ac:dyDescent="0.2">
      <c r="A73" s="64" t="s">
        <v>478</v>
      </c>
      <c r="B73" s="9">
        <f>'Intermediate Results'!C67</f>
        <v>6.359</v>
      </c>
      <c r="C73" s="11">
        <f t="shared" si="0"/>
        <v>4.717722912407611</v>
      </c>
      <c r="D73" s="11">
        <f t="shared" si="1"/>
        <v>4.717722912407611</v>
      </c>
      <c r="E73" s="10"/>
      <c r="F73" s="12" t="s">
        <v>286</v>
      </c>
      <c r="G73" s="11">
        <f t="shared" si="2"/>
        <v>0</v>
      </c>
      <c r="H73" s="11">
        <f t="shared" si="3"/>
        <v>1</v>
      </c>
      <c r="I73" s="13">
        <f t="shared" si="4"/>
        <v>30</v>
      </c>
    </row>
    <row r="74" spans="1:9" x14ac:dyDescent="0.2">
      <c r="A74" s="64" t="s">
        <v>479</v>
      </c>
      <c r="B74" s="9">
        <f>'Intermediate Results'!C68</f>
        <v>0.79700000000000004</v>
      </c>
      <c r="C74" s="11">
        <f t="shared" si="0"/>
        <v>37.641154328732746</v>
      </c>
      <c r="D74" s="11">
        <f t="shared" si="1"/>
        <v>7.5</v>
      </c>
      <c r="E74" s="10"/>
      <c r="F74" s="12" t="s">
        <v>50</v>
      </c>
      <c r="G74" s="11">
        <f t="shared" si="2"/>
        <v>30.141154328732746</v>
      </c>
      <c r="H74" s="11">
        <f t="shared" si="3"/>
        <v>5.0188205771643659</v>
      </c>
      <c r="I74" s="13">
        <f t="shared" si="4"/>
        <v>5.9775</v>
      </c>
    </row>
    <row r="75" spans="1:9" x14ac:dyDescent="0.2">
      <c r="A75" s="64" t="s">
        <v>480</v>
      </c>
      <c r="B75" s="9">
        <f>'Intermediate Results'!C69</f>
        <v>1.1579999999999999</v>
      </c>
      <c r="C75" s="11">
        <f t="shared" si="0"/>
        <v>25.90673575129534</v>
      </c>
      <c r="D75" s="11">
        <f t="shared" si="1"/>
        <v>7.5</v>
      </c>
      <c r="E75" s="10"/>
      <c r="F75" s="12" t="s">
        <v>51</v>
      </c>
      <c r="G75" s="11">
        <f t="shared" si="2"/>
        <v>18.40673575129534</v>
      </c>
      <c r="H75" s="11">
        <f t="shared" si="3"/>
        <v>3.4542314335060453</v>
      </c>
      <c r="I75" s="13">
        <f t="shared" si="4"/>
        <v>8.6849999999999987</v>
      </c>
    </row>
    <row r="76" spans="1:9" x14ac:dyDescent="0.2">
      <c r="A76" s="64" t="s">
        <v>481</v>
      </c>
      <c r="B76" s="9">
        <f>'Intermediate Results'!C70</f>
        <v>1.0840000000000001</v>
      </c>
      <c r="C76" s="11">
        <f t="shared" si="0"/>
        <v>27.675276752767527</v>
      </c>
      <c r="D76" s="11">
        <f t="shared" si="1"/>
        <v>7.5</v>
      </c>
      <c r="E76" s="10"/>
      <c r="F76" s="12" t="s">
        <v>52</v>
      </c>
      <c r="G76" s="11">
        <f t="shared" si="2"/>
        <v>20.175276752767527</v>
      </c>
      <c r="H76" s="11">
        <f t="shared" si="3"/>
        <v>3.6900369003690034</v>
      </c>
      <c r="I76" s="13">
        <f t="shared" si="4"/>
        <v>8.1300000000000008</v>
      </c>
    </row>
    <row r="77" spans="1:9" x14ac:dyDescent="0.2">
      <c r="A77" s="64" t="s">
        <v>482</v>
      </c>
      <c r="B77" s="9">
        <f>'Intermediate Results'!C71</f>
        <v>1.3149999999999999</v>
      </c>
      <c r="C77" s="11">
        <f t="shared" si="0"/>
        <v>22.813688212927758</v>
      </c>
      <c r="D77" s="11">
        <f t="shared" si="1"/>
        <v>7.5</v>
      </c>
      <c r="E77" s="10"/>
      <c r="F77" s="12" t="s">
        <v>53</v>
      </c>
      <c r="G77" s="11">
        <f t="shared" si="2"/>
        <v>15.313688212927758</v>
      </c>
      <c r="H77" s="11">
        <f t="shared" si="3"/>
        <v>3.0418250950570345</v>
      </c>
      <c r="I77" s="13">
        <f t="shared" si="4"/>
        <v>9.8624999999999989</v>
      </c>
    </row>
    <row r="78" spans="1:9" x14ac:dyDescent="0.2">
      <c r="A78" s="64" t="s">
        <v>483</v>
      </c>
      <c r="B78" s="9">
        <f>'Intermediate Results'!C72</f>
        <v>1.163</v>
      </c>
      <c r="C78" s="11">
        <f t="shared" si="0"/>
        <v>25.79535683576956</v>
      </c>
      <c r="D78" s="11">
        <f t="shared" si="1"/>
        <v>7.5</v>
      </c>
      <c r="E78" s="10"/>
      <c r="F78" s="12" t="s">
        <v>54</v>
      </c>
      <c r="G78" s="11">
        <f t="shared" si="2"/>
        <v>18.29535683576956</v>
      </c>
      <c r="H78" s="11">
        <f t="shared" si="3"/>
        <v>3.4393809114359413</v>
      </c>
      <c r="I78" s="13">
        <f t="shared" si="4"/>
        <v>8.7225000000000001</v>
      </c>
    </row>
    <row r="79" spans="1:9" x14ac:dyDescent="0.2">
      <c r="A79" s="64" t="s">
        <v>484</v>
      </c>
      <c r="B79" s="9">
        <f>'Intermediate Results'!C73</f>
        <v>1.157</v>
      </c>
      <c r="C79" s="11">
        <f t="shared" si="0"/>
        <v>25.929127052722556</v>
      </c>
      <c r="D79" s="11">
        <f t="shared" si="1"/>
        <v>7.5</v>
      </c>
      <c r="E79" s="10"/>
      <c r="F79" s="12" t="s">
        <v>55</v>
      </c>
      <c r="G79" s="11">
        <f t="shared" si="2"/>
        <v>18.429127052722556</v>
      </c>
      <c r="H79" s="11">
        <f t="shared" si="3"/>
        <v>3.4572169403630073</v>
      </c>
      <c r="I79" s="13">
        <f t="shared" si="4"/>
        <v>8.6775000000000002</v>
      </c>
    </row>
    <row r="80" spans="1:9" x14ac:dyDescent="0.2">
      <c r="A80" s="64" t="s">
        <v>485</v>
      </c>
      <c r="B80" s="9">
        <f>'Intermediate Results'!C74</f>
        <v>1.0309999999999999</v>
      </c>
      <c r="C80" s="11">
        <f t="shared" si="0"/>
        <v>29.097963142580021</v>
      </c>
      <c r="D80" s="11">
        <f t="shared" si="1"/>
        <v>7.5</v>
      </c>
      <c r="E80" s="10"/>
      <c r="F80" s="12" t="s">
        <v>56</v>
      </c>
      <c r="G80" s="11">
        <f t="shared" si="2"/>
        <v>21.597963142580021</v>
      </c>
      <c r="H80" s="11">
        <f t="shared" si="3"/>
        <v>3.8797284190106693</v>
      </c>
      <c r="I80" s="13">
        <f t="shared" si="4"/>
        <v>7.732499999999999</v>
      </c>
    </row>
    <row r="81" spans="1:9" x14ac:dyDescent="0.2">
      <c r="A81" s="64" t="s">
        <v>486</v>
      </c>
      <c r="B81" s="9">
        <f>'Intermediate Results'!C75</f>
        <v>1.45</v>
      </c>
      <c r="C81" s="11">
        <f t="shared" si="0"/>
        <v>20.689655172413794</v>
      </c>
      <c r="D81" s="11">
        <f t="shared" si="1"/>
        <v>7.5</v>
      </c>
      <c r="E81" s="10"/>
      <c r="F81" s="12" t="s">
        <v>57</v>
      </c>
      <c r="G81" s="11">
        <f t="shared" si="2"/>
        <v>13.189655172413794</v>
      </c>
      <c r="H81" s="11">
        <f t="shared" si="3"/>
        <v>2.7586206896551726</v>
      </c>
      <c r="I81" s="13">
        <f t="shared" si="4"/>
        <v>10.875</v>
      </c>
    </row>
    <row r="82" spans="1:9" x14ac:dyDescent="0.2">
      <c r="A82" s="64" t="s">
        <v>487</v>
      </c>
      <c r="B82" s="9">
        <f>'Intermediate Results'!C76</f>
        <v>6.4279999999999999</v>
      </c>
      <c r="C82" s="11">
        <f t="shared" si="0"/>
        <v>4.667081518357187</v>
      </c>
      <c r="D82" s="11">
        <f t="shared" si="1"/>
        <v>4.667081518357187</v>
      </c>
      <c r="E82" s="10"/>
      <c r="F82" s="12" t="s">
        <v>287</v>
      </c>
      <c r="G82" s="11">
        <f t="shared" si="2"/>
        <v>0</v>
      </c>
      <c r="H82" s="11">
        <f t="shared" si="3"/>
        <v>1</v>
      </c>
      <c r="I82" s="13">
        <f t="shared" si="4"/>
        <v>29.999999999999996</v>
      </c>
    </row>
    <row r="83" spans="1:9" x14ac:dyDescent="0.2">
      <c r="A83" s="64" t="s">
        <v>488</v>
      </c>
      <c r="B83" s="9">
        <f>'Intermediate Results'!C77</f>
        <v>4.3419999999999996</v>
      </c>
      <c r="C83" s="11">
        <f t="shared" si="0"/>
        <v>6.9092584062643949</v>
      </c>
      <c r="D83" s="11">
        <f t="shared" si="1"/>
        <v>6.9092584062643949</v>
      </c>
      <c r="E83" s="10"/>
      <c r="F83" s="12" t="s">
        <v>288</v>
      </c>
      <c r="G83" s="11">
        <f t="shared" si="2"/>
        <v>0</v>
      </c>
      <c r="H83" s="11">
        <f t="shared" si="3"/>
        <v>1</v>
      </c>
      <c r="I83" s="13">
        <f t="shared" si="4"/>
        <v>30</v>
      </c>
    </row>
    <row r="84" spans="1:9" x14ac:dyDescent="0.2">
      <c r="A84" s="64" t="s">
        <v>489</v>
      </c>
      <c r="B84" s="9">
        <f>'Intermediate Results'!C78</f>
        <v>4.0880000000000001</v>
      </c>
      <c r="C84" s="11">
        <f t="shared" si="0"/>
        <v>7.3385518590998045</v>
      </c>
      <c r="D84" s="11">
        <f t="shared" si="1"/>
        <v>7.3385518590998045</v>
      </c>
      <c r="E84" s="10"/>
      <c r="F84" s="12" t="s">
        <v>289</v>
      </c>
      <c r="G84" s="11">
        <f t="shared" si="2"/>
        <v>0</v>
      </c>
      <c r="H84" s="11">
        <f t="shared" si="3"/>
        <v>1</v>
      </c>
      <c r="I84" s="13">
        <f t="shared" si="4"/>
        <v>30</v>
      </c>
    </row>
    <row r="85" spans="1:9" x14ac:dyDescent="0.2">
      <c r="A85" s="64" t="s">
        <v>490</v>
      </c>
      <c r="B85" s="9">
        <f>'Intermediate Results'!C79</f>
        <v>5.4509999999999996</v>
      </c>
      <c r="C85" s="11">
        <f t="shared" si="0"/>
        <v>5.5035773252614204</v>
      </c>
      <c r="D85" s="11">
        <f t="shared" si="1"/>
        <v>5.5035773252614204</v>
      </c>
      <c r="E85" s="10"/>
      <c r="F85" s="12" t="s">
        <v>290</v>
      </c>
      <c r="G85" s="11">
        <f t="shared" si="2"/>
        <v>0</v>
      </c>
      <c r="H85" s="11">
        <f t="shared" si="3"/>
        <v>1</v>
      </c>
      <c r="I85" s="13">
        <f t="shared" si="4"/>
        <v>30</v>
      </c>
    </row>
    <row r="86" spans="1:9" x14ac:dyDescent="0.2">
      <c r="A86" s="64" t="s">
        <v>491</v>
      </c>
      <c r="B86" s="9">
        <f>'Intermediate Results'!C80</f>
        <v>5.2430000000000003</v>
      </c>
      <c r="C86" s="11">
        <f t="shared" si="0"/>
        <v>5.7219149341979776</v>
      </c>
      <c r="D86" s="11">
        <f t="shared" si="1"/>
        <v>5.7219149341979776</v>
      </c>
      <c r="E86" s="10"/>
      <c r="F86" s="12" t="s">
        <v>291</v>
      </c>
      <c r="G86" s="11">
        <f t="shared" si="2"/>
        <v>0</v>
      </c>
      <c r="H86" s="11">
        <f t="shared" si="3"/>
        <v>1</v>
      </c>
      <c r="I86" s="13">
        <f t="shared" si="4"/>
        <v>30</v>
      </c>
    </row>
    <row r="87" spans="1:9" x14ac:dyDescent="0.2">
      <c r="A87" s="64" t="s">
        <v>492</v>
      </c>
      <c r="B87" s="9">
        <f>'Intermediate Results'!C81</f>
        <v>4.49</v>
      </c>
      <c r="C87" s="11">
        <f t="shared" si="0"/>
        <v>6.6815144766146988</v>
      </c>
      <c r="D87" s="11">
        <f t="shared" si="1"/>
        <v>6.6815144766146988</v>
      </c>
      <c r="E87" s="10"/>
      <c r="F87" s="12" t="s">
        <v>292</v>
      </c>
      <c r="G87" s="11">
        <f t="shared" si="2"/>
        <v>0</v>
      </c>
      <c r="H87" s="11">
        <f t="shared" si="3"/>
        <v>1</v>
      </c>
      <c r="I87" s="13">
        <f t="shared" si="4"/>
        <v>30</v>
      </c>
    </row>
    <row r="88" spans="1:9" x14ac:dyDescent="0.2">
      <c r="A88" s="64" t="s">
        <v>493</v>
      </c>
      <c r="B88" s="9">
        <f>'Intermediate Results'!C82</f>
        <v>3.226</v>
      </c>
      <c r="C88" s="11">
        <f t="shared" si="0"/>
        <v>9.299442033477991</v>
      </c>
      <c r="D88" s="11">
        <f t="shared" si="1"/>
        <v>7.5</v>
      </c>
      <c r="E88" s="10"/>
      <c r="F88" s="12" t="s">
        <v>293</v>
      </c>
      <c r="G88" s="11">
        <f t="shared" si="2"/>
        <v>1.799442033477991</v>
      </c>
      <c r="H88" s="11">
        <f t="shared" si="3"/>
        <v>1.2399256044637321</v>
      </c>
      <c r="I88" s="13">
        <f t="shared" si="4"/>
        <v>24.195</v>
      </c>
    </row>
    <row r="89" spans="1:9" x14ac:dyDescent="0.2">
      <c r="A89" s="64" t="s">
        <v>494</v>
      </c>
      <c r="B89" s="9">
        <f>'Intermediate Results'!C83</f>
        <v>4.5129999999999999</v>
      </c>
      <c r="C89" s="11">
        <f t="shared" si="0"/>
        <v>6.6474628849988919</v>
      </c>
      <c r="D89" s="11">
        <f t="shared" si="1"/>
        <v>6.6474628849988919</v>
      </c>
      <c r="E89" s="10"/>
      <c r="F89" s="12" t="s">
        <v>294</v>
      </c>
      <c r="G89" s="11">
        <f t="shared" si="2"/>
        <v>0</v>
      </c>
      <c r="H89" s="11">
        <f t="shared" si="3"/>
        <v>1</v>
      </c>
      <c r="I89" s="13">
        <f t="shared" si="4"/>
        <v>30</v>
      </c>
    </row>
    <row r="90" spans="1:9" x14ac:dyDescent="0.2">
      <c r="A90" s="64" t="s">
        <v>495</v>
      </c>
      <c r="B90" s="9">
        <f>'Intermediate Results'!C84</f>
        <v>4.8849999999999998</v>
      </c>
      <c r="C90" s="11">
        <f t="shared" si="0"/>
        <v>6.1412487205731834</v>
      </c>
      <c r="D90" s="11">
        <f t="shared" si="1"/>
        <v>6.1412487205731834</v>
      </c>
      <c r="E90" s="10"/>
      <c r="F90" s="12" t="s">
        <v>295</v>
      </c>
      <c r="G90" s="11">
        <f t="shared" si="2"/>
        <v>0</v>
      </c>
      <c r="H90" s="11">
        <f t="shared" si="3"/>
        <v>1</v>
      </c>
      <c r="I90" s="13">
        <f t="shared" si="4"/>
        <v>30</v>
      </c>
    </row>
    <row r="91" spans="1:9" x14ac:dyDescent="0.2">
      <c r="A91" s="64" t="s">
        <v>496</v>
      </c>
      <c r="B91" s="9">
        <f>'Intermediate Results'!C85</f>
        <v>2.9489999999999998</v>
      </c>
      <c r="C91" s="11">
        <f t="shared" si="0"/>
        <v>10.172939979654121</v>
      </c>
      <c r="D91" s="11">
        <f t="shared" si="1"/>
        <v>7.5</v>
      </c>
      <c r="E91" s="10"/>
      <c r="F91" s="12" t="s">
        <v>296</v>
      </c>
      <c r="G91" s="11">
        <f t="shared" si="2"/>
        <v>2.6729399796541209</v>
      </c>
      <c r="H91" s="11">
        <f t="shared" si="3"/>
        <v>1.356391997287216</v>
      </c>
      <c r="I91" s="13">
        <f t="shared" si="4"/>
        <v>22.1175</v>
      </c>
    </row>
    <row r="92" spans="1:9" x14ac:dyDescent="0.2">
      <c r="A92" s="64" t="s">
        <v>497</v>
      </c>
      <c r="B92" s="9">
        <f>'Intermediate Results'!C86</f>
        <v>2.3530000000000002</v>
      </c>
      <c r="C92" s="11">
        <f t="shared" si="0"/>
        <v>12.74968125796855</v>
      </c>
      <c r="D92" s="11">
        <f t="shared" si="1"/>
        <v>7.5</v>
      </c>
      <c r="E92" s="10"/>
      <c r="F92" s="12" t="s">
        <v>297</v>
      </c>
      <c r="G92" s="11">
        <f t="shared" si="2"/>
        <v>5.2496812579685503</v>
      </c>
      <c r="H92" s="11">
        <f t="shared" si="3"/>
        <v>1.6999575010624735</v>
      </c>
      <c r="I92" s="13">
        <f t="shared" si="4"/>
        <v>17.647500000000001</v>
      </c>
    </row>
    <row r="93" spans="1:9" x14ac:dyDescent="0.2">
      <c r="A93" s="64" t="s">
        <v>498</v>
      </c>
      <c r="B93" s="9">
        <f>'Intermediate Results'!C87</f>
        <v>1.905</v>
      </c>
      <c r="C93" s="11">
        <f t="shared" si="0"/>
        <v>15.748031496062993</v>
      </c>
      <c r="D93" s="11">
        <f t="shared" si="1"/>
        <v>7.5</v>
      </c>
      <c r="E93" s="10"/>
      <c r="F93" s="12" t="s">
        <v>298</v>
      </c>
      <c r="G93" s="11">
        <f t="shared" si="2"/>
        <v>8.2480314960629926</v>
      </c>
      <c r="H93" s="11">
        <f t="shared" si="3"/>
        <v>2.0997375328083989</v>
      </c>
      <c r="I93" s="13">
        <f t="shared" si="4"/>
        <v>14.2875</v>
      </c>
    </row>
    <row r="94" spans="1:9" x14ac:dyDescent="0.2">
      <c r="A94" s="64" t="s">
        <v>499</v>
      </c>
      <c r="B94" s="9">
        <f>'Intermediate Results'!C88</f>
        <v>2.5190000000000001</v>
      </c>
      <c r="C94" s="11">
        <f t="shared" si="0"/>
        <v>11.909487892020643</v>
      </c>
      <c r="D94" s="11">
        <f t="shared" si="1"/>
        <v>7.5</v>
      </c>
      <c r="E94" s="10"/>
      <c r="F94" s="12" t="s">
        <v>299</v>
      </c>
      <c r="G94" s="11">
        <f t="shared" si="2"/>
        <v>4.4094878920206426</v>
      </c>
      <c r="H94" s="11">
        <f t="shared" si="3"/>
        <v>1.5879317189360858</v>
      </c>
      <c r="I94" s="13">
        <f t="shared" si="4"/>
        <v>18.892500000000002</v>
      </c>
    </row>
    <row r="95" spans="1:9" x14ac:dyDescent="0.2">
      <c r="A95" s="64" t="s">
        <v>500</v>
      </c>
      <c r="B95" s="9">
        <f>'Intermediate Results'!C89</f>
        <v>1.696</v>
      </c>
      <c r="C95" s="11">
        <f t="shared" si="0"/>
        <v>17.688679245283019</v>
      </c>
      <c r="D95" s="11">
        <f t="shared" si="1"/>
        <v>7.5</v>
      </c>
      <c r="E95" s="10"/>
      <c r="F95" s="12" t="s">
        <v>300</v>
      </c>
      <c r="G95" s="11">
        <f t="shared" si="2"/>
        <v>10.188679245283019</v>
      </c>
      <c r="H95" s="11">
        <f t="shared" si="3"/>
        <v>2.358490566037736</v>
      </c>
      <c r="I95" s="13">
        <f t="shared" si="4"/>
        <v>12.719999999999999</v>
      </c>
    </row>
    <row r="96" spans="1:9" x14ac:dyDescent="0.2">
      <c r="A96" s="64" t="s">
        <v>501</v>
      </c>
      <c r="B96" s="9">
        <f>'Intermediate Results'!C90</f>
        <v>0.872</v>
      </c>
      <c r="C96" s="11">
        <f t="shared" si="0"/>
        <v>34.403669724770644</v>
      </c>
      <c r="D96" s="11">
        <f t="shared" si="1"/>
        <v>7.5</v>
      </c>
      <c r="E96" s="10"/>
      <c r="F96" s="12" t="s">
        <v>301</v>
      </c>
      <c r="G96" s="11">
        <f t="shared" si="2"/>
        <v>26.903669724770644</v>
      </c>
      <c r="H96" s="11">
        <f t="shared" si="3"/>
        <v>4.5871559633027523</v>
      </c>
      <c r="I96" s="13">
        <f t="shared" si="4"/>
        <v>6.54</v>
      </c>
    </row>
    <row r="97" spans="1:9" x14ac:dyDescent="0.2">
      <c r="A97" s="64" t="s">
        <v>502</v>
      </c>
      <c r="B97" s="9">
        <f>'Intermediate Results'!C92</f>
        <v>1.4410000000000001</v>
      </c>
      <c r="C97" s="11">
        <f t="shared" si="0"/>
        <v>20.818875780707842</v>
      </c>
      <c r="D97" s="11">
        <f t="shared" si="1"/>
        <v>7.5</v>
      </c>
      <c r="E97" s="10"/>
      <c r="F97" s="12" t="s">
        <v>302</v>
      </c>
      <c r="G97" s="11">
        <f t="shared" si="2"/>
        <v>13.318875780707842</v>
      </c>
      <c r="H97" s="11">
        <f t="shared" si="3"/>
        <v>2.775850104094379</v>
      </c>
      <c r="I97" s="13">
        <f t="shared" si="4"/>
        <v>10.807500000000001</v>
      </c>
    </row>
    <row r="98" spans="1:9" x14ac:dyDescent="0.2">
      <c r="A98" s="64" t="s">
        <v>503</v>
      </c>
      <c r="B98" s="9">
        <f>'Intermediate Results'!C93</f>
        <v>3.3889999999999998</v>
      </c>
      <c r="C98" s="11">
        <f t="shared" si="0"/>
        <v>8.8521687813514323</v>
      </c>
      <c r="D98" s="11">
        <f t="shared" si="1"/>
        <v>7.5</v>
      </c>
      <c r="E98" s="10"/>
      <c r="F98" s="12" t="s">
        <v>303</v>
      </c>
      <c r="G98" s="11">
        <f t="shared" si="2"/>
        <v>1.3521687813514323</v>
      </c>
      <c r="H98" s="11">
        <f t="shared" si="3"/>
        <v>1.1802891708468577</v>
      </c>
      <c r="I98" s="13">
        <f t="shared" si="4"/>
        <v>25.417499999999997</v>
      </c>
    </row>
    <row r="99" spans="1:9" x14ac:dyDescent="0.2">
      <c r="A99" s="64" t="s">
        <v>504</v>
      </c>
      <c r="B99" s="9">
        <f>'Intermediate Results'!C94</f>
        <v>2.4390000000000001</v>
      </c>
      <c r="C99" s="11">
        <f t="shared" si="0"/>
        <v>12.300123001230013</v>
      </c>
      <c r="D99" s="11">
        <f t="shared" si="1"/>
        <v>7.5</v>
      </c>
      <c r="E99" s="10"/>
      <c r="F99" s="12" t="s">
        <v>304</v>
      </c>
      <c r="G99" s="11">
        <f t="shared" si="2"/>
        <v>4.8001230012300127</v>
      </c>
      <c r="H99" s="11">
        <f t="shared" si="3"/>
        <v>1.6400164001640016</v>
      </c>
      <c r="I99" s="13">
        <f t="shared" si="4"/>
        <v>18.2925</v>
      </c>
    </row>
    <row r="100" spans="1:9" x14ac:dyDescent="0.2">
      <c r="A100" s="64" t="s">
        <v>505</v>
      </c>
      <c r="B100" s="9">
        <f>'Intermediate Results'!C95</f>
        <v>2.5840000000000001</v>
      </c>
      <c r="C100" s="11">
        <f t="shared" si="0"/>
        <v>11.609907120743033</v>
      </c>
      <c r="D100" s="11">
        <f t="shared" si="1"/>
        <v>7.5</v>
      </c>
      <c r="E100" s="10"/>
      <c r="F100" s="12" t="s">
        <v>305</v>
      </c>
      <c r="G100" s="11">
        <f t="shared" si="2"/>
        <v>4.1099071207430331</v>
      </c>
      <c r="H100" s="11">
        <f t="shared" si="3"/>
        <v>1.5479876160990711</v>
      </c>
      <c r="I100" s="13">
        <f t="shared" si="4"/>
        <v>19.38</v>
      </c>
    </row>
    <row r="101" spans="1:9" x14ac:dyDescent="0.2">
      <c r="A101" s="64" t="s">
        <v>506</v>
      </c>
      <c r="B101" s="9">
        <f>'Intermediate Results'!C96</f>
        <v>2.1909999999999998</v>
      </c>
      <c r="C101" s="11">
        <f t="shared" si="0"/>
        <v>13.692377909630308</v>
      </c>
      <c r="D101" s="11">
        <f t="shared" si="1"/>
        <v>7.5</v>
      </c>
      <c r="E101" s="10"/>
      <c r="F101" s="12" t="s">
        <v>306</v>
      </c>
      <c r="G101" s="11">
        <f t="shared" si="2"/>
        <v>6.1923779096303075</v>
      </c>
      <c r="H101" s="11">
        <f t="shared" si="3"/>
        <v>1.8256503879507078</v>
      </c>
      <c r="I101" s="13">
        <f t="shared" si="4"/>
        <v>16.432499999999997</v>
      </c>
    </row>
    <row r="102" spans="1:9" x14ac:dyDescent="0.2">
      <c r="A102" s="64" t="s">
        <v>507</v>
      </c>
      <c r="B102" s="9">
        <f>'Intermediate Results'!C97</f>
        <v>1.623</v>
      </c>
      <c r="C102" s="11">
        <f t="shared" si="0"/>
        <v>18.484288354898336</v>
      </c>
      <c r="D102" s="11">
        <f t="shared" si="1"/>
        <v>7.5</v>
      </c>
      <c r="E102" s="10"/>
      <c r="F102" s="12" t="s">
        <v>307</v>
      </c>
      <c r="G102" s="11">
        <f t="shared" si="2"/>
        <v>10.984288354898336</v>
      </c>
      <c r="H102" s="11">
        <f t="shared" si="3"/>
        <v>2.4645717806531113</v>
      </c>
      <c r="I102" s="13">
        <f t="shared" si="4"/>
        <v>12.172499999999999</v>
      </c>
    </row>
    <row r="103" spans="1:9" x14ac:dyDescent="0.2">
      <c r="A103" s="64" t="s">
        <v>508</v>
      </c>
      <c r="B103" s="9">
        <f>'Intermediate Results'!C98</f>
        <v>1.377</v>
      </c>
      <c r="C103" s="11">
        <f t="shared" si="0"/>
        <v>21.786492374727668</v>
      </c>
      <c r="D103" s="11">
        <f t="shared" si="1"/>
        <v>7.5</v>
      </c>
      <c r="E103" s="10"/>
      <c r="F103" s="12" t="s">
        <v>308</v>
      </c>
      <c r="G103" s="11">
        <f t="shared" si="2"/>
        <v>14.286492374727668</v>
      </c>
      <c r="H103" s="11">
        <f t="shared" si="3"/>
        <v>2.9048656499636891</v>
      </c>
      <c r="I103" s="13">
        <f t="shared" si="4"/>
        <v>10.327500000000001</v>
      </c>
    </row>
    <row r="104" spans="1:9" x14ac:dyDescent="0.2">
      <c r="A104" s="64" t="s">
        <v>509</v>
      </c>
      <c r="B104" s="9">
        <f>'Intermediate Results'!C99</f>
        <v>1.7430000000000001</v>
      </c>
      <c r="C104" s="11">
        <f>$A$7/B104</f>
        <v>17.21170395869191</v>
      </c>
      <c r="D104" s="11">
        <f>MIN(C104,$C$7)</f>
        <v>7.5</v>
      </c>
      <c r="E104" s="10"/>
      <c r="F104" s="12" t="s">
        <v>309</v>
      </c>
      <c r="G104" s="11">
        <f t="shared" si="2"/>
        <v>9.7117039586919098</v>
      </c>
      <c r="H104" s="11">
        <f t="shared" si="3"/>
        <v>2.2948938611589211</v>
      </c>
      <c r="I104" s="13">
        <f t="shared" si="4"/>
        <v>13.072500000000002</v>
      </c>
    </row>
    <row r="105" spans="1:9" x14ac:dyDescent="0.2">
      <c r="A105" s="64" t="s">
        <v>510</v>
      </c>
      <c r="B105" s="9">
        <f>'Intermediate Results'!C99</f>
        <v>1.7430000000000001</v>
      </c>
      <c r="C105" s="11">
        <f t="shared" si="0"/>
        <v>17.21170395869191</v>
      </c>
      <c r="D105" s="11">
        <f t="shared" si="1"/>
        <v>7.5</v>
      </c>
      <c r="E105" s="10"/>
      <c r="F105" s="12" t="s">
        <v>310</v>
      </c>
      <c r="G105" s="11">
        <f t="shared" si="2"/>
        <v>9.7117039586919098</v>
      </c>
      <c r="H105" s="11">
        <f t="shared" si="3"/>
        <v>2.2948938611589211</v>
      </c>
      <c r="I105" s="13">
        <f t="shared" si="4"/>
        <v>13.072500000000002</v>
      </c>
    </row>
    <row r="106" spans="1:9" x14ac:dyDescent="0.2">
      <c r="A106" s="64" t="s">
        <v>511</v>
      </c>
      <c r="B106" s="9">
        <f>'Intermediate Results'!C100</f>
        <v>6.0419999999999998</v>
      </c>
      <c r="C106" s="11">
        <f t="shared" si="0"/>
        <v>4.9652432969215496</v>
      </c>
      <c r="D106" s="11">
        <f t="shared" si="1"/>
        <v>4.9652432969215496</v>
      </c>
      <c r="E106" s="10"/>
      <c r="F106" s="12" t="s">
        <v>58</v>
      </c>
      <c r="G106" s="11">
        <f t="shared" si="2"/>
        <v>0</v>
      </c>
      <c r="H106" s="11">
        <f t="shared" si="3"/>
        <v>1</v>
      </c>
      <c r="I106" s="13">
        <f t="shared" si="4"/>
        <v>30.000000000000004</v>
      </c>
    </row>
    <row r="107" spans="1:9" x14ac:dyDescent="0.2">
      <c r="A107" s="64" t="s">
        <v>512</v>
      </c>
      <c r="B107" s="9">
        <f>'Intermediate Results'!C101</f>
        <v>5.4580000000000002</v>
      </c>
      <c r="C107" s="11">
        <f t="shared" si="0"/>
        <v>5.4965188713814586</v>
      </c>
      <c r="D107" s="11">
        <f t="shared" si="1"/>
        <v>5.4965188713814586</v>
      </c>
      <c r="E107" s="10"/>
      <c r="F107" s="12" t="s">
        <v>59</v>
      </c>
      <c r="G107" s="11">
        <f t="shared" si="2"/>
        <v>0</v>
      </c>
      <c r="H107" s="11">
        <f t="shared" si="3"/>
        <v>1</v>
      </c>
      <c r="I107" s="13">
        <f t="shared" si="4"/>
        <v>30.000000000000004</v>
      </c>
    </row>
    <row r="108" spans="1:9" x14ac:dyDescent="0.2">
      <c r="A108" s="64" t="s">
        <v>513</v>
      </c>
      <c r="B108" s="9">
        <f>'Intermediate Results'!C102</f>
        <v>5.9829999999999997</v>
      </c>
      <c r="C108" s="11">
        <f t="shared" si="0"/>
        <v>5.0142069196055497</v>
      </c>
      <c r="D108" s="11">
        <f t="shared" si="1"/>
        <v>5.0142069196055497</v>
      </c>
      <c r="E108" s="10"/>
      <c r="F108" s="12" t="s">
        <v>60</v>
      </c>
      <c r="G108" s="11">
        <f t="shared" si="2"/>
        <v>0</v>
      </c>
      <c r="H108" s="11">
        <f t="shared" si="3"/>
        <v>1</v>
      </c>
      <c r="I108" s="13">
        <f t="shared" si="4"/>
        <v>30.000000000000004</v>
      </c>
    </row>
    <row r="109" spans="1:9" x14ac:dyDescent="0.2">
      <c r="A109" s="64" t="s">
        <v>514</v>
      </c>
      <c r="B109" s="9">
        <f>'Intermediate Results'!C103</f>
        <v>6.9370000000000003</v>
      </c>
      <c r="C109" s="11">
        <f t="shared" si="0"/>
        <v>4.3246360098025081</v>
      </c>
      <c r="D109" s="11">
        <f t="shared" si="1"/>
        <v>4.3246360098025081</v>
      </c>
      <c r="E109" s="10"/>
      <c r="F109" s="12" t="s">
        <v>61</v>
      </c>
      <c r="G109" s="11">
        <f t="shared" si="2"/>
        <v>0</v>
      </c>
      <c r="H109" s="11">
        <f t="shared" si="3"/>
        <v>1</v>
      </c>
      <c r="I109" s="13">
        <f t="shared" si="4"/>
        <v>30</v>
      </c>
    </row>
    <row r="110" spans="1:9" x14ac:dyDescent="0.2">
      <c r="A110" s="64" t="s">
        <v>515</v>
      </c>
      <c r="B110" s="9">
        <f>'Intermediate Results'!C104</f>
        <v>7.5010000000000003</v>
      </c>
      <c r="C110" s="11">
        <f t="shared" si="0"/>
        <v>3.9994667377682975</v>
      </c>
      <c r="D110" s="11">
        <f t="shared" si="1"/>
        <v>3.9994667377682975</v>
      </c>
      <c r="E110" s="10"/>
      <c r="F110" s="12" t="s">
        <v>62</v>
      </c>
      <c r="G110" s="11">
        <f t="shared" si="2"/>
        <v>0</v>
      </c>
      <c r="H110" s="11">
        <f t="shared" si="3"/>
        <v>1</v>
      </c>
      <c r="I110" s="13">
        <f t="shared" si="4"/>
        <v>30</v>
      </c>
    </row>
    <row r="111" spans="1:9" x14ac:dyDescent="0.2">
      <c r="A111" s="64" t="s">
        <v>516</v>
      </c>
      <c r="B111" s="9">
        <f>'Intermediate Results'!C105</f>
        <v>5.8940000000000001</v>
      </c>
      <c r="C111" s="11">
        <f t="shared" si="0"/>
        <v>5.0899219545300305</v>
      </c>
      <c r="D111" s="11">
        <f t="shared" si="1"/>
        <v>5.0899219545300305</v>
      </c>
      <c r="E111" s="10"/>
      <c r="F111" s="12" t="s">
        <v>63</v>
      </c>
      <c r="G111" s="11">
        <f t="shared" si="2"/>
        <v>0</v>
      </c>
      <c r="H111" s="11">
        <f t="shared" si="3"/>
        <v>1</v>
      </c>
      <c r="I111" s="13">
        <f t="shared" si="4"/>
        <v>30</v>
      </c>
    </row>
    <row r="112" spans="1:9" x14ac:dyDescent="0.2">
      <c r="A112" s="64" t="s">
        <v>517</v>
      </c>
      <c r="B112" s="9">
        <f>'Intermediate Results'!C106</f>
        <v>5.617</v>
      </c>
      <c r="C112" s="11">
        <f t="shared" si="0"/>
        <v>5.3409293217019762</v>
      </c>
      <c r="D112" s="11">
        <f t="shared" si="1"/>
        <v>5.3409293217019762</v>
      </c>
      <c r="E112" s="10"/>
      <c r="F112" s="12" t="s">
        <v>64</v>
      </c>
      <c r="G112" s="11">
        <f t="shared" si="2"/>
        <v>0</v>
      </c>
      <c r="H112" s="11">
        <f t="shared" si="3"/>
        <v>1</v>
      </c>
      <c r="I112" s="13">
        <f t="shared" si="4"/>
        <v>30</v>
      </c>
    </row>
    <row r="113" spans="1:9" x14ac:dyDescent="0.2">
      <c r="A113" s="64" t="s">
        <v>518</v>
      </c>
      <c r="B113" s="9">
        <f>'Intermediate Results'!C107</f>
        <v>3.431</v>
      </c>
      <c r="C113" s="11">
        <f t="shared" si="0"/>
        <v>8.7438064704167875</v>
      </c>
      <c r="D113" s="11">
        <f t="shared" si="1"/>
        <v>7.5</v>
      </c>
      <c r="E113" s="10"/>
      <c r="F113" s="12" t="s">
        <v>65</v>
      </c>
      <c r="G113" s="11">
        <f t="shared" si="2"/>
        <v>1.2438064704167875</v>
      </c>
      <c r="H113" s="11">
        <f t="shared" si="3"/>
        <v>1.1658408627222383</v>
      </c>
      <c r="I113" s="13">
        <f t="shared" si="4"/>
        <v>25.732500000000002</v>
      </c>
    </row>
    <row r="114" spans="1:9" x14ac:dyDescent="0.2">
      <c r="A114" s="64" t="s">
        <v>519</v>
      </c>
      <c r="B114" s="9">
        <f>'Intermediate Results'!C108</f>
        <v>6.9029999999999996</v>
      </c>
      <c r="C114" s="11">
        <f t="shared" si="0"/>
        <v>4.34593654932638</v>
      </c>
      <c r="D114" s="11">
        <f t="shared" si="1"/>
        <v>4.34593654932638</v>
      </c>
      <c r="E114" s="10"/>
      <c r="F114" s="12" t="s">
        <v>311</v>
      </c>
      <c r="G114" s="11">
        <f t="shared" si="2"/>
        <v>0</v>
      </c>
      <c r="H114" s="11">
        <f t="shared" si="3"/>
        <v>1</v>
      </c>
      <c r="I114" s="13">
        <f t="shared" si="4"/>
        <v>30</v>
      </c>
    </row>
    <row r="115" spans="1:9" x14ac:dyDescent="0.2">
      <c r="A115" s="64" t="s">
        <v>520</v>
      </c>
      <c r="B115" s="9">
        <f>'Intermediate Results'!C109</f>
        <v>5.0819999999999999</v>
      </c>
      <c r="C115" s="11">
        <f t="shared" si="0"/>
        <v>5.9031877213695401</v>
      </c>
      <c r="D115" s="11">
        <f t="shared" si="1"/>
        <v>5.9031877213695401</v>
      </c>
      <c r="E115" s="10"/>
      <c r="F115" s="12" t="s">
        <v>312</v>
      </c>
      <c r="G115" s="11">
        <f t="shared" si="2"/>
        <v>0</v>
      </c>
      <c r="H115" s="11">
        <f t="shared" si="3"/>
        <v>1</v>
      </c>
      <c r="I115" s="13">
        <f t="shared" si="4"/>
        <v>30</v>
      </c>
    </row>
    <row r="116" spans="1:9" x14ac:dyDescent="0.2">
      <c r="A116" s="64" t="s">
        <v>521</v>
      </c>
      <c r="B116" s="9">
        <f>'Intermediate Results'!C110</f>
        <v>5.8769999999999998</v>
      </c>
      <c r="C116" s="11">
        <f t="shared" si="0"/>
        <v>5.1046452271567127</v>
      </c>
      <c r="D116" s="11">
        <f t="shared" si="1"/>
        <v>5.1046452271567127</v>
      </c>
      <c r="E116" s="10"/>
      <c r="F116" s="12" t="s">
        <v>313</v>
      </c>
      <c r="G116" s="11">
        <f t="shared" si="2"/>
        <v>0</v>
      </c>
      <c r="H116" s="11">
        <f t="shared" si="3"/>
        <v>1</v>
      </c>
      <c r="I116" s="13">
        <f t="shared" si="4"/>
        <v>30</v>
      </c>
    </row>
    <row r="117" spans="1:9" x14ac:dyDescent="0.2">
      <c r="A117" s="64" t="s">
        <v>522</v>
      </c>
      <c r="B117" s="9">
        <f>'Intermediate Results'!C111</f>
        <v>5.915</v>
      </c>
      <c r="C117" s="11">
        <f t="shared" si="0"/>
        <v>5.0718512256973796</v>
      </c>
      <c r="D117" s="11">
        <f t="shared" si="1"/>
        <v>5.0718512256973796</v>
      </c>
      <c r="E117" s="10"/>
      <c r="F117" s="12" t="s">
        <v>314</v>
      </c>
      <c r="G117" s="11">
        <f t="shared" si="2"/>
        <v>0</v>
      </c>
      <c r="H117" s="11">
        <f t="shared" si="3"/>
        <v>1</v>
      </c>
      <c r="I117" s="13">
        <f t="shared" si="4"/>
        <v>30</v>
      </c>
    </row>
    <row r="118" spans="1:9" x14ac:dyDescent="0.2">
      <c r="A118" s="64" t="s">
        <v>523</v>
      </c>
      <c r="B118" s="9">
        <f>'Intermediate Results'!C112</f>
        <v>7.8520000000000003</v>
      </c>
      <c r="C118" s="11">
        <f t="shared" si="0"/>
        <v>3.8206826286296485</v>
      </c>
      <c r="D118" s="11">
        <f t="shared" si="1"/>
        <v>3.8206826286296485</v>
      </c>
      <c r="E118" s="10"/>
      <c r="F118" s="12" t="s">
        <v>315</v>
      </c>
      <c r="G118" s="11">
        <f t="shared" si="2"/>
        <v>0</v>
      </c>
      <c r="H118" s="11">
        <f t="shared" si="3"/>
        <v>1</v>
      </c>
      <c r="I118" s="13">
        <f t="shared" si="4"/>
        <v>30</v>
      </c>
    </row>
    <row r="119" spans="1:9" x14ac:dyDescent="0.2">
      <c r="A119" s="64" t="s">
        <v>524</v>
      </c>
      <c r="B119" s="9">
        <f>'Intermediate Results'!C113</f>
        <v>8.0180000000000007</v>
      </c>
      <c r="C119" s="11">
        <f t="shared" si="0"/>
        <v>3.7415814417560487</v>
      </c>
      <c r="D119" s="11">
        <f t="shared" si="1"/>
        <v>3.7415814417560487</v>
      </c>
      <c r="E119" s="10"/>
      <c r="F119" s="12" t="s">
        <v>316</v>
      </c>
      <c r="G119" s="11">
        <f t="shared" si="2"/>
        <v>0</v>
      </c>
      <c r="H119" s="11">
        <f t="shared" si="3"/>
        <v>1</v>
      </c>
      <c r="I119" s="13">
        <f t="shared" si="4"/>
        <v>30</v>
      </c>
    </row>
    <row r="120" spans="1:9" x14ac:dyDescent="0.2">
      <c r="A120" s="64" t="s">
        <v>525</v>
      </c>
      <c r="B120" s="9">
        <f>'Intermediate Results'!C114</f>
        <v>6.2279999999999998</v>
      </c>
      <c r="C120" s="11">
        <f t="shared" si="0"/>
        <v>4.8169556840077075</v>
      </c>
      <c r="D120" s="11">
        <f t="shared" si="1"/>
        <v>4.8169556840077075</v>
      </c>
      <c r="E120" s="10"/>
      <c r="F120" s="12" t="s">
        <v>317</v>
      </c>
      <c r="G120" s="11">
        <f t="shared" si="2"/>
        <v>0</v>
      </c>
      <c r="H120" s="11">
        <f t="shared" si="3"/>
        <v>1</v>
      </c>
      <c r="I120" s="13">
        <f t="shared" si="4"/>
        <v>30</v>
      </c>
    </row>
    <row r="121" spans="1:9" x14ac:dyDescent="0.2">
      <c r="A121" s="64" t="s">
        <v>526</v>
      </c>
      <c r="B121" s="9">
        <f>'Intermediate Results'!C115</f>
        <v>8.4109999999999996</v>
      </c>
      <c r="C121" s="11">
        <f t="shared" si="0"/>
        <v>3.5667578171442162</v>
      </c>
      <c r="D121" s="11">
        <f t="shared" si="1"/>
        <v>3.5667578171442162</v>
      </c>
      <c r="E121" s="10"/>
      <c r="F121" s="12" t="s">
        <v>318</v>
      </c>
      <c r="G121" s="11">
        <f t="shared" si="2"/>
        <v>0</v>
      </c>
      <c r="H121" s="11">
        <f t="shared" si="3"/>
        <v>1</v>
      </c>
      <c r="I121" s="13">
        <f t="shared" si="4"/>
        <v>30</v>
      </c>
    </row>
    <row r="122" spans="1:9" x14ac:dyDescent="0.2">
      <c r="A122" s="64" t="s">
        <v>527</v>
      </c>
      <c r="B122" s="9">
        <f>'Intermediate Results'!C116</f>
        <v>6.4820000000000002</v>
      </c>
      <c r="C122" s="11">
        <f t="shared" si="0"/>
        <v>4.6282011724776302</v>
      </c>
      <c r="D122" s="11">
        <f t="shared" si="1"/>
        <v>4.6282011724776302</v>
      </c>
      <c r="E122" s="10"/>
      <c r="F122" s="12" t="s">
        <v>319</v>
      </c>
      <c r="G122" s="11">
        <f t="shared" si="2"/>
        <v>0</v>
      </c>
      <c r="H122" s="11">
        <f t="shared" si="3"/>
        <v>1</v>
      </c>
      <c r="I122" s="13">
        <f t="shared" si="4"/>
        <v>30</v>
      </c>
    </row>
    <row r="123" spans="1:9" x14ac:dyDescent="0.2">
      <c r="A123" s="64" t="s">
        <v>528</v>
      </c>
      <c r="B123" s="9">
        <f>'Intermediate Results'!C117</f>
        <v>6.157</v>
      </c>
      <c r="C123" s="11">
        <f t="shared" si="0"/>
        <v>4.8725028422933248</v>
      </c>
      <c r="D123" s="11">
        <f t="shared" si="1"/>
        <v>4.8725028422933248</v>
      </c>
      <c r="E123" s="10"/>
      <c r="F123" s="12" t="s">
        <v>320</v>
      </c>
      <c r="G123" s="11">
        <f t="shared" si="2"/>
        <v>0</v>
      </c>
      <c r="H123" s="11">
        <f t="shared" si="3"/>
        <v>1</v>
      </c>
      <c r="I123" s="13">
        <f t="shared" si="4"/>
        <v>30</v>
      </c>
    </row>
    <row r="124" spans="1:9" x14ac:dyDescent="0.2">
      <c r="A124" s="64" t="s">
        <v>529</v>
      </c>
      <c r="B124" s="9">
        <f>'Intermediate Results'!C118</f>
        <v>6.1790000000000003</v>
      </c>
      <c r="C124" s="11">
        <f t="shared" si="0"/>
        <v>4.8551545557533577</v>
      </c>
      <c r="D124" s="11">
        <f t="shared" si="1"/>
        <v>4.8551545557533577</v>
      </c>
      <c r="E124" s="10"/>
      <c r="F124" s="12" t="s">
        <v>321</v>
      </c>
      <c r="G124" s="11">
        <f t="shared" si="2"/>
        <v>0</v>
      </c>
      <c r="H124" s="11">
        <f t="shared" si="3"/>
        <v>1</v>
      </c>
      <c r="I124" s="13">
        <f t="shared" si="4"/>
        <v>30</v>
      </c>
    </row>
    <row r="125" spans="1:9" x14ac:dyDescent="0.2">
      <c r="A125" s="64" t="s">
        <v>530</v>
      </c>
      <c r="B125" s="9">
        <f>'Intermediate Results'!C119</f>
        <v>7.5540000000000003</v>
      </c>
      <c r="C125" s="11">
        <f t="shared" si="0"/>
        <v>3.9714058776806986</v>
      </c>
      <c r="D125" s="11">
        <f t="shared" si="1"/>
        <v>3.9714058776806986</v>
      </c>
      <c r="E125" s="10"/>
      <c r="F125" s="12" t="s">
        <v>322</v>
      </c>
      <c r="G125" s="11">
        <f t="shared" si="2"/>
        <v>0</v>
      </c>
      <c r="H125" s="11">
        <f t="shared" si="3"/>
        <v>1</v>
      </c>
      <c r="I125" s="13">
        <f t="shared" si="4"/>
        <v>30</v>
      </c>
    </row>
    <row r="126" spans="1:9" x14ac:dyDescent="0.2">
      <c r="A126" s="64" t="s">
        <v>531</v>
      </c>
      <c r="B126" s="9">
        <f>'Intermediate Results'!C120</f>
        <v>7.726</v>
      </c>
      <c r="C126" s="11">
        <f t="shared" si="0"/>
        <v>3.8829924928811805</v>
      </c>
      <c r="D126" s="11">
        <f t="shared" si="1"/>
        <v>3.8829924928811805</v>
      </c>
      <c r="E126" s="10"/>
      <c r="F126" s="12" t="s">
        <v>323</v>
      </c>
      <c r="G126" s="11">
        <f t="shared" si="2"/>
        <v>0</v>
      </c>
      <c r="H126" s="11">
        <f t="shared" si="3"/>
        <v>1</v>
      </c>
      <c r="I126" s="13">
        <f t="shared" si="4"/>
        <v>30</v>
      </c>
    </row>
    <row r="127" spans="1:9" x14ac:dyDescent="0.2">
      <c r="A127" s="64" t="s">
        <v>532</v>
      </c>
      <c r="B127" s="9">
        <f>'Intermediate Results'!C121</f>
        <v>7.7910000000000004</v>
      </c>
      <c r="C127" s="11">
        <f t="shared" si="0"/>
        <v>3.8505968425105888</v>
      </c>
      <c r="D127" s="11">
        <f t="shared" si="1"/>
        <v>3.8505968425105888</v>
      </c>
      <c r="E127" s="10"/>
      <c r="F127" s="12" t="s">
        <v>324</v>
      </c>
      <c r="G127" s="11">
        <f t="shared" si="2"/>
        <v>0</v>
      </c>
      <c r="H127" s="11">
        <f t="shared" si="3"/>
        <v>1</v>
      </c>
      <c r="I127" s="13">
        <f t="shared" si="4"/>
        <v>30</v>
      </c>
    </row>
    <row r="128" spans="1:9" x14ac:dyDescent="0.2">
      <c r="A128" s="64" t="s">
        <v>533</v>
      </c>
      <c r="B128" s="9">
        <f>'Intermediate Results'!C122</f>
        <v>6.758</v>
      </c>
      <c r="C128" s="11">
        <f t="shared" si="0"/>
        <v>4.4391831902929857</v>
      </c>
      <c r="D128" s="11">
        <f t="shared" si="1"/>
        <v>4.4391831902929857</v>
      </c>
      <c r="E128" s="10"/>
      <c r="F128" s="12" t="s">
        <v>325</v>
      </c>
      <c r="G128" s="11">
        <f t="shared" si="2"/>
        <v>0</v>
      </c>
      <c r="H128" s="11">
        <f t="shared" si="3"/>
        <v>1</v>
      </c>
      <c r="I128" s="13">
        <f t="shared" si="4"/>
        <v>29.999999999999996</v>
      </c>
    </row>
    <row r="129" spans="1:9" x14ac:dyDescent="0.2">
      <c r="A129" s="64" t="s">
        <v>534</v>
      </c>
      <c r="B129" s="9">
        <f>'Intermediate Results'!C123</f>
        <v>7.649</v>
      </c>
      <c r="C129" s="11">
        <f t="shared" si="0"/>
        <v>3.9220813178193228</v>
      </c>
      <c r="D129" s="11">
        <f t="shared" si="1"/>
        <v>3.9220813178193228</v>
      </c>
      <c r="E129" s="10"/>
      <c r="F129" s="12" t="s">
        <v>326</v>
      </c>
      <c r="G129" s="11">
        <f t="shared" si="2"/>
        <v>0</v>
      </c>
      <c r="H129" s="11">
        <f t="shared" si="3"/>
        <v>1</v>
      </c>
      <c r="I129" s="13">
        <f t="shared" si="4"/>
        <v>30</v>
      </c>
    </row>
    <row r="130" spans="1:9" x14ac:dyDescent="0.2">
      <c r="A130" s="64" t="s">
        <v>535</v>
      </c>
      <c r="B130" s="9">
        <f>'Intermediate Results'!C124</f>
        <v>2.0499999999999998</v>
      </c>
      <c r="C130" s="11">
        <f t="shared" si="0"/>
        <v>14.634146341463415</v>
      </c>
      <c r="D130" s="11">
        <f t="shared" si="1"/>
        <v>7.5</v>
      </c>
      <c r="E130" s="10"/>
      <c r="F130" s="12" t="s">
        <v>327</v>
      </c>
      <c r="G130" s="11">
        <f t="shared" si="2"/>
        <v>7.1341463414634152</v>
      </c>
      <c r="H130" s="11">
        <f t="shared" si="3"/>
        <v>1.9512195121951221</v>
      </c>
      <c r="I130" s="13">
        <f t="shared" si="4"/>
        <v>15.374999999999998</v>
      </c>
    </row>
    <row r="131" spans="1:9" x14ac:dyDescent="0.2">
      <c r="A131" s="64" t="s">
        <v>536</v>
      </c>
      <c r="B131" s="9">
        <f>'Intermediate Results'!C125</f>
        <v>3.0179999999999998</v>
      </c>
      <c r="C131" s="11">
        <f t="shared" si="0"/>
        <v>9.9403578528827037</v>
      </c>
      <c r="D131" s="11">
        <f t="shared" si="1"/>
        <v>7.5</v>
      </c>
      <c r="E131" s="10"/>
      <c r="F131" s="12" t="s">
        <v>328</v>
      </c>
      <c r="G131" s="11">
        <f t="shared" si="2"/>
        <v>2.4403578528827037</v>
      </c>
      <c r="H131" s="11">
        <f t="shared" si="3"/>
        <v>1.3253810470510272</v>
      </c>
      <c r="I131" s="13">
        <f t="shared" si="4"/>
        <v>22.634999999999998</v>
      </c>
    </row>
    <row r="132" spans="1:9" x14ac:dyDescent="0.2">
      <c r="A132" s="64" t="s">
        <v>537</v>
      </c>
      <c r="B132" s="9">
        <f>'Intermediate Results'!C126</f>
        <v>3.492</v>
      </c>
      <c r="C132" s="11">
        <f t="shared" si="0"/>
        <v>8.5910652920962196</v>
      </c>
      <c r="D132" s="11">
        <f t="shared" si="1"/>
        <v>7.5</v>
      </c>
      <c r="E132" s="10"/>
      <c r="F132" s="12" t="s">
        <v>329</v>
      </c>
      <c r="G132" s="11">
        <f t="shared" si="2"/>
        <v>1.0910652920962196</v>
      </c>
      <c r="H132" s="11">
        <f t="shared" si="3"/>
        <v>1.1454753722794959</v>
      </c>
      <c r="I132" s="13">
        <f t="shared" si="4"/>
        <v>26.19</v>
      </c>
    </row>
    <row r="133" spans="1:9" x14ac:dyDescent="0.2">
      <c r="A133" s="64" t="s">
        <v>538</v>
      </c>
      <c r="B133" s="9">
        <f>'Intermediate Results'!C127</f>
        <v>5.19</v>
      </c>
      <c r="C133" s="11">
        <f t="shared" si="0"/>
        <v>5.7803468208092479</v>
      </c>
      <c r="D133" s="11">
        <f t="shared" si="1"/>
        <v>5.7803468208092479</v>
      </c>
      <c r="E133" s="10"/>
      <c r="F133" s="12" t="s">
        <v>330</v>
      </c>
      <c r="G133" s="11">
        <f t="shared" si="2"/>
        <v>0</v>
      </c>
      <c r="H133" s="11">
        <f t="shared" si="3"/>
        <v>1</v>
      </c>
      <c r="I133" s="13">
        <f t="shared" si="4"/>
        <v>30</v>
      </c>
    </row>
    <row r="134" spans="1:9" x14ac:dyDescent="0.2">
      <c r="A134" s="64" t="s">
        <v>539</v>
      </c>
      <c r="B134" s="9">
        <f>'Intermediate Results'!C128</f>
        <v>4.1180000000000003</v>
      </c>
      <c r="C134" s="11">
        <f t="shared" si="0"/>
        <v>7.2850898494414755</v>
      </c>
      <c r="D134" s="11">
        <f t="shared" si="1"/>
        <v>7.2850898494414755</v>
      </c>
      <c r="E134" s="10"/>
      <c r="F134" s="12" t="s">
        <v>331</v>
      </c>
      <c r="G134" s="11">
        <f t="shared" si="2"/>
        <v>0</v>
      </c>
      <c r="H134" s="11">
        <f t="shared" si="3"/>
        <v>1</v>
      </c>
      <c r="I134" s="13">
        <f t="shared" si="4"/>
        <v>30</v>
      </c>
    </row>
    <row r="135" spans="1:9" x14ac:dyDescent="0.2">
      <c r="A135" s="64" t="s">
        <v>540</v>
      </c>
      <c r="B135" s="9">
        <f>'Intermediate Results'!C129</f>
        <v>5.3419999999999996</v>
      </c>
      <c r="C135" s="11">
        <f t="shared" si="0"/>
        <v>5.6158742044178211</v>
      </c>
      <c r="D135" s="11">
        <f t="shared" si="1"/>
        <v>5.6158742044178211</v>
      </c>
      <c r="E135" s="10"/>
      <c r="F135" s="12" t="s">
        <v>332</v>
      </c>
      <c r="G135" s="11">
        <f t="shared" si="2"/>
        <v>0</v>
      </c>
      <c r="H135" s="11">
        <f t="shared" si="3"/>
        <v>1</v>
      </c>
      <c r="I135" s="13">
        <f t="shared" si="4"/>
        <v>30</v>
      </c>
    </row>
    <row r="136" spans="1:9" x14ac:dyDescent="0.2">
      <c r="A136" s="64" t="s">
        <v>541</v>
      </c>
      <c r="B136" s="9">
        <f>'Intermediate Results'!C130</f>
        <v>3.3170000000000002</v>
      </c>
      <c r="C136" s="11">
        <f t="shared" si="0"/>
        <v>9.0443171540548679</v>
      </c>
      <c r="D136" s="11">
        <f t="shared" si="1"/>
        <v>7.5</v>
      </c>
      <c r="E136" s="10"/>
      <c r="F136" s="12" t="s">
        <v>333</v>
      </c>
      <c r="G136" s="11">
        <f t="shared" si="2"/>
        <v>1.5443171540548679</v>
      </c>
      <c r="H136" s="11">
        <f t="shared" si="3"/>
        <v>1.2059089538739824</v>
      </c>
      <c r="I136" s="13">
        <f t="shared" si="4"/>
        <v>24.877500000000001</v>
      </c>
    </row>
    <row r="137" spans="1:9" x14ac:dyDescent="0.2">
      <c r="A137" s="64" t="s">
        <v>542</v>
      </c>
      <c r="B137" s="9">
        <f>'Intermediate Results'!C131</f>
        <v>5.3529999999999998</v>
      </c>
      <c r="C137" s="11">
        <f t="shared" si="0"/>
        <v>5.6043340183074912</v>
      </c>
      <c r="D137" s="11">
        <f t="shared" si="1"/>
        <v>5.6043340183074912</v>
      </c>
      <c r="E137" s="10"/>
      <c r="F137" s="12" t="s">
        <v>334</v>
      </c>
      <c r="G137" s="11">
        <f t="shared" si="2"/>
        <v>0</v>
      </c>
      <c r="H137" s="11">
        <f t="shared" si="3"/>
        <v>1</v>
      </c>
      <c r="I137" s="13">
        <f t="shared" si="4"/>
        <v>30</v>
      </c>
    </row>
    <row r="138" spans="1:9" x14ac:dyDescent="0.2">
      <c r="A138" s="64" t="s">
        <v>543</v>
      </c>
      <c r="B138" s="9">
        <f>'Intermediate Results'!C132</f>
        <v>4.8719999999999999</v>
      </c>
      <c r="C138" s="11">
        <f t="shared" si="0"/>
        <v>6.1576354679802954</v>
      </c>
      <c r="D138" s="11">
        <f t="shared" si="1"/>
        <v>6.1576354679802954</v>
      </c>
      <c r="E138" s="10"/>
      <c r="F138" s="12" t="s">
        <v>66</v>
      </c>
      <c r="G138" s="11">
        <f t="shared" si="2"/>
        <v>0</v>
      </c>
      <c r="H138" s="11">
        <f t="shared" si="3"/>
        <v>1</v>
      </c>
      <c r="I138" s="13">
        <f t="shared" si="4"/>
        <v>30</v>
      </c>
    </row>
    <row r="139" spans="1:9" x14ac:dyDescent="0.2">
      <c r="A139" s="64" t="s">
        <v>544</v>
      </c>
      <c r="B139" s="9">
        <f>'Intermediate Results'!C133</f>
        <v>4.258</v>
      </c>
      <c r="C139" s="11">
        <f t="shared" si="0"/>
        <v>7.0455612963832781</v>
      </c>
      <c r="D139" s="11">
        <f t="shared" si="1"/>
        <v>7.0455612963832781</v>
      </c>
      <c r="E139" s="10"/>
      <c r="F139" s="12" t="s">
        <v>67</v>
      </c>
      <c r="G139" s="11">
        <f t="shared" si="2"/>
        <v>0</v>
      </c>
      <c r="H139" s="11">
        <f t="shared" si="3"/>
        <v>1</v>
      </c>
      <c r="I139" s="13">
        <f t="shared" si="4"/>
        <v>29.999999999999996</v>
      </c>
    </row>
    <row r="140" spans="1:9" x14ac:dyDescent="0.2">
      <c r="A140" s="64" t="s">
        <v>545</v>
      </c>
      <c r="B140" s="9">
        <f>'Intermediate Results'!C134</f>
        <v>4.0810000000000004</v>
      </c>
      <c r="C140" s="11">
        <f t="shared" si="0"/>
        <v>7.3511394266111241</v>
      </c>
      <c r="D140" s="11">
        <f t="shared" si="1"/>
        <v>7.3511394266111241</v>
      </c>
      <c r="E140" s="10"/>
      <c r="F140" s="12" t="s">
        <v>68</v>
      </c>
      <c r="G140" s="11">
        <f t="shared" si="2"/>
        <v>0</v>
      </c>
      <c r="H140" s="11">
        <f t="shared" si="3"/>
        <v>1</v>
      </c>
      <c r="I140" s="13">
        <f t="shared" si="4"/>
        <v>30</v>
      </c>
    </row>
    <row r="141" spans="1:9" x14ac:dyDescent="0.2">
      <c r="A141" s="64" t="s">
        <v>546</v>
      </c>
      <c r="B141" s="9">
        <f>'Intermediate Results'!C135</f>
        <v>4.7160000000000002</v>
      </c>
      <c r="C141" s="11">
        <f t="shared" si="0"/>
        <v>6.3613231552162848</v>
      </c>
      <c r="D141" s="11">
        <f t="shared" si="1"/>
        <v>6.3613231552162848</v>
      </c>
      <c r="E141" s="10"/>
      <c r="F141" s="12" t="s">
        <v>69</v>
      </c>
      <c r="G141" s="11">
        <f t="shared" si="2"/>
        <v>0</v>
      </c>
      <c r="H141" s="11">
        <f t="shared" si="3"/>
        <v>1</v>
      </c>
      <c r="I141" s="13">
        <f t="shared" si="4"/>
        <v>30</v>
      </c>
    </row>
    <row r="142" spans="1:9" x14ac:dyDescent="0.2">
      <c r="A142" s="64" t="s">
        <v>547</v>
      </c>
      <c r="B142" s="9">
        <f>'Intermediate Results'!C136</f>
        <v>8.5809999999999995</v>
      </c>
      <c r="C142" s="11">
        <f t="shared" si="0"/>
        <v>3.4960960261041838</v>
      </c>
      <c r="D142" s="11">
        <f t="shared" si="1"/>
        <v>3.4960960261041838</v>
      </c>
      <c r="E142" s="10"/>
      <c r="F142" s="12" t="s">
        <v>70</v>
      </c>
      <c r="G142" s="11">
        <f t="shared" si="2"/>
        <v>0</v>
      </c>
      <c r="H142" s="11">
        <f t="shared" si="3"/>
        <v>1</v>
      </c>
      <c r="I142" s="13">
        <f t="shared" si="4"/>
        <v>30</v>
      </c>
    </row>
    <row r="143" spans="1:9" x14ac:dyDescent="0.2">
      <c r="A143" s="64" t="s">
        <v>548</v>
      </c>
      <c r="B143" s="9">
        <f>'Intermediate Results'!C137</f>
        <v>7.2380000000000004</v>
      </c>
      <c r="C143" s="11">
        <f t="shared" si="0"/>
        <v>4.1447913788339319</v>
      </c>
      <c r="D143" s="11">
        <f t="shared" si="1"/>
        <v>4.1447913788339319</v>
      </c>
      <c r="E143" s="10"/>
      <c r="F143" s="12" t="s">
        <v>71</v>
      </c>
      <c r="G143" s="11">
        <f t="shared" si="2"/>
        <v>0</v>
      </c>
      <c r="H143" s="11">
        <f t="shared" si="3"/>
        <v>1</v>
      </c>
      <c r="I143" s="13">
        <f t="shared" si="4"/>
        <v>30</v>
      </c>
    </row>
    <row r="144" spans="1:9" x14ac:dyDescent="0.2">
      <c r="A144" s="64" t="s">
        <v>549</v>
      </c>
      <c r="B144" s="9">
        <f>'Intermediate Results'!C138</f>
        <v>6.4329999999999998</v>
      </c>
      <c r="C144" s="11">
        <f t="shared" si="0"/>
        <v>4.6634540649774605</v>
      </c>
      <c r="D144" s="11">
        <f t="shared" si="1"/>
        <v>4.6634540649774605</v>
      </c>
      <c r="E144" s="10"/>
      <c r="F144" s="12" t="s">
        <v>72</v>
      </c>
      <c r="G144" s="11">
        <f t="shared" si="2"/>
        <v>0</v>
      </c>
      <c r="H144" s="11">
        <f t="shared" si="3"/>
        <v>1</v>
      </c>
      <c r="I144" s="13">
        <f t="shared" si="4"/>
        <v>30.000000000000004</v>
      </c>
    </row>
    <row r="145" spans="1:9" x14ac:dyDescent="0.2">
      <c r="A145" s="64" t="s">
        <v>550</v>
      </c>
      <c r="B145" s="9">
        <f>'Intermediate Results'!C139</f>
        <v>7.3239999999999998</v>
      </c>
      <c r="C145" s="11">
        <f t="shared" si="0"/>
        <v>4.0961223375204803</v>
      </c>
      <c r="D145" s="11">
        <f t="shared" si="1"/>
        <v>4.0961223375204803</v>
      </c>
      <c r="E145" s="10"/>
      <c r="F145" s="12" t="s">
        <v>73</v>
      </c>
      <c r="G145" s="11">
        <f t="shared" si="2"/>
        <v>0</v>
      </c>
      <c r="H145" s="11">
        <f t="shared" si="3"/>
        <v>1</v>
      </c>
      <c r="I145" s="13">
        <f t="shared" si="4"/>
        <v>29.999999999999996</v>
      </c>
    </row>
    <row r="146" spans="1:9" x14ac:dyDescent="0.2">
      <c r="A146" s="64" t="s">
        <v>551</v>
      </c>
      <c r="B146" s="9">
        <f>'Intermediate Results'!C140</f>
        <v>2.875</v>
      </c>
      <c r="C146" s="11">
        <f t="shared" si="0"/>
        <v>10.434782608695652</v>
      </c>
      <c r="D146" s="11">
        <f t="shared" si="1"/>
        <v>7.5</v>
      </c>
      <c r="E146" s="10"/>
      <c r="F146" s="12" t="s">
        <v>335</v>
      </c>
      <c r="G146" s="11">
        <f t="shared" si="2"/>
        <v>2.9347826086956523</v>
      </c>
      <c r="H146" s="11">
        <f t="shared" si="3"/>
        <v>1.3913043478260869</v>
      </c>
      <c r="I146" s="13">
        <f t="shared" si="4"/>
        <v>21.5625</v>
      </c>
    </row>
    <row r="147" spans="1:9" x14ac:dyDescent="0.2">
      <c r="A147" s="64" t="s">
        <v>552</v>
      </c>
      <c r="B147" s="9">
        <f>'Intermediate Results'!C141</f>
        <v>8.1509999999999998</v>
      </c>
      <c r="C147" s="11">
        <f t="shared" si="0"/>
        <v>3.68052999631947</v>
      </c>
      <c r="D147" s="11">
        <f t="shared" si="1"/>
        <v>3.68052999631947</v>
      </c>
      <c r="E147" s="10"/>
      <c r="F147" s="12" t="s">
        <v>336</v>
      </c>
      <c r="G147" s="11">
        <f t="shared" si="2"/>
        <v>0</v>
      </c>
      <c r="H147" s="11">
        <f t="shared" si="3"/>
        <v>1</v>
      </c>
      <c r="I147" s="13">
        <f t="shared" si="4"/>
        <v>30</v>
      </c>
    </row>
    <row r="148" spans="1:9" x14ac:dyDescent="0.2">
      <c r="A148" s="64" t="s">
        <v>553</v>
      </c>
      <c r="B148" s="9">
        <f>'Intermediate Results'!C142</f>
        <v>3.3639999999999999</v>
      </c>
      <c r="C148" s="11">
        <f t="shared" si="0"/>
        <v>8.9179548156956017</v>
      </c>
      <c r="D148" s="11">
        <f t="shared" si="1"/>
        <v>7.5</v>
      </c>
      <c r="E148" s="10"/>
      <c r="F148" s="12" t="s">
        <v>337</v>
      </c>
      <c r="G148" s="11">
        <f t="shared" si="2"/>
        <v>1.4179548156956017</v>
      </c>
      <c r="H148" s="11">
        <f t="shared" si="3"/>
        <v>1.189060642092747</v>
      </c>
      <c r="I148" s="13">
        <f t="shared" si="4"/>
        <v>25.23</v>
      </c>
    </row>
    <row r="149" spans="1:9" x14ac:dyDescent="0.2">
      <c r="A149" s="64" t="s">
        <v>554</v>
      </c>
      <c r="B149" s="9">
        <f>'Intermediate Results'!C143</f>
        <v>7.8129999999999997</v>
      </c>
      <c r="C149" s="11">
        <f t="shared" si="0"/>
        <v>3.8397542557276334</v>
      </c>
      <c r="D149" s="11">
        <f t="shared" si="1"/>
        <v>3.8397542557276334</v>
      </c>
      <c r="E149" s="10"/>
      <c r="F149" s="12" t="s">
        <v>338</v>
      </c>
      <c r="G149" s="11">
        <f t="shared" si="2"/>
        <v>0</v>
      </c>
      <c r="H149" s="11">
        <f t="shared" si="3"/>
        <v>1</v>
      </c>
      <c r="I149" s="13">
        <f t="shared" si="4"/>
        <v>30</v>
      </c>
    </row>
    <row r="150" spans="1:9" x14ac:dyDescent="0.2">
      <c r="A150" s="64" t="s">
        <v>555</v>
      </c>
      <c r="B150" s="9">
        <f>'Intermediate Results'!C144</f>
        <v>5.5030000000000001</v>
      </c>
      <c r="C150" s="11">
        <f t="shared" si="0"/>
        <v>5.4515718698891513</v>
      </c>
      <c r="D150" s="11">
        <f t="shared" si="1"/>
        <v>5.4515718698891513</v>
      </c>
      <c r="E150" s="10"/>
      <c r="F150" s="12" t="s">
        <v>339</v>
      </c>
      <c r="G150" s="11">
        <f t="shared" si="2"/>
        <v>0</v>
      </c>
      <c r="H150" s="11">
        <f t="shared" si="3"/>
        <v>1</v>
      </c>
      <c r="I150" s="13">
        <f t="shared" si="4"/>
        <v>30</v>
      </c>
    </row>
    <row r="151" spans="1:9" x14ac:dyDescent="0.2">
      <c r="A151" s="64" t="s">
        <v>556</v>
      </c>
      <c r="B151" s="9">
        <f>'Intermediate Results'!C145</f>
        <v>3.0369999999999999</v>
      </c>
      <c r="C151" s="11">
        <f t="shared" si="0"/>
        <v>9.878169245966415</v>
      </c>
      <c r="D151" s="11">
        <f t="shared" si="1"/>
        <v>7.5</v>
      </c>
      <c r="E151" s="10"/>
      <c r="F151" s="12" t="s">
        <v>340</v>
      </c>
      <c r="G151" s="11">
        <f t="shared" si="2"/>
        <v>2.378169245966415</v>
      </c>
      <c r="H151" s="11">
        <f t="shared" si="3"/>
        <v>1.3170892327955219</v>
      </c>
      <c r="I151" s="13">
        <f t="shared" si="4"/>
        <v>22.7775</v>
      </c>
    </row>
    <row r="152" spans="1:9" x14ac:dyDescent="0.2">
      <c r="A152" s="64" t="s">
        <v>557</v>
      </c>
      <c r="B152" s="9">
        <f>'Intermediate Results'!C146</f>
        <v>6.7220000000000004</v>
      </c>
      <c r="C152" s="11">
        <f t="shared" si="0"/>
        <v>4.4629574531389462</v>
      </c>
      <c r="D152" s="11">
        <f t="shared" si="1"/>
        <v>4.4629574531389462</v>
      </c>
      <c r="E152" s="10"/>
      <c r="F152" s="12" t="s">
        <v>341</v>
      </c>
      <c r="G152" s="11">
        <f t="shared" si="2"/>
        <v>0</v>
      </c>
      <c r="H152" s="11">
        <f t="shared" si="3"/>
        <v>1</v>
      </c>
      <c r="I152" s="13">
        <f t="shared" si="4"/>
        <v>30</v>
      </c>
    </row>
    <row r="153" spans="1:9" x14ac:dyDescent="0.2">
      <c r="A153" s="64" t="s">
        <v>558</v>
      </c>
      <c r="B153" s="9">
        <f>'Intermediate Results'!C147</f>
        <v>4.7859999999999996</v>
      </c>
      <c r="C153" s="11">
        <f t="shared" si="0"/>
        <v>6.2682824905975769</v>
      </c>
      <c r="D153" s="11">
        <f t="shared" si="1"/>
        <v>6.2682824905975769</v>
      </c>
      <c r="E153" s="10"/>
      <c r="F153" s="12" t="s">
        <v>342</v>
      </c>
      <c r="G153" s="11">
        <f t="shared" si="2"/>
        <v>0</v>
      </c>
      <c r="H153" s="11">
        <f t="shared" si="3"/>
        <v>1</v>
      </c>
      <c r="I153" s="13">
        <f t="shared" si="4"/>
        <v>30</v>
      </c>
    </row>
    <row r="154" spans="1:9" x14ac:dyDescent="0.2">
      <c r="A154" s="64" t="s">
        <v>559</v>
      </c>
      <c r="B154" s="9">
        <f>'Intermediate Results'!C148</f>
        <v>8.1310000000000002</v>
      </c>
      <c r="C154" s="11">
        <f t="shared" si="0"/>
        <v>3.6895830771122862</v>
      </c>
      <c r="D154" s="11">
        <f t="shared" si="1"/>
        <v>3.6895830771122862</v>
      </c>
      <c r="E154" s="10"/>
      <c r="F154" s="12" t="s">
        <v>343</v>
      </c>
      <c r="G154" s="11">
        <f t="shared" si="2"/>
        <v>0</v>
      </c>
      <c r="H154" s="11">
        <f t="shared" si="3"/>
        <v>1</v>
      </c>
      <c r="I154" s="13">
        <f t="shared" si="4"/>
        <v>30</v>
      </c>
    </row>
    <row r="155" spans="1:9" x14ac:dyDescent="0.2">
      <c r="A155" s="64" t="s">
        <v>560</v>
      </c>
      <c r="B155" s="9">
        <f>'Intermediate Results'!C149</f>
        <v>7.4219999999999997</v>
      </c>
      <c r="C155" s="11">
        <f t="shared" si="0"/>
        <v>4.0420371867421183</v>
      </c>
      <c r="D155" s="11">
        <f t="shared" si="1"/>
        <v>4.0420371867421183</v>
      </c>
      <c r="E155" s="10"/>
      <c r="F155" s="12" t="s">
        <v>344</v>
      </c>
      <c r="G155" s="11">
        <f t="shared" si="2"/>
        <v>0</v>
      </c>
      <c r="H155" s="11">
        <f t="shared" si="3"/>
        <v>1</v>
      </c>
      <c r="I155" s="13">
        <f t="shared" si="4"/>
        <v>30</v>
      </c>
    </row>
    <row r="156" spans="1:9" x14ac:dyDescent="0.2">
      <c r="A156" s="64" t="s">
        <v>561</v>
      </c>
      <c r="B156" s="9">
        <f>'Intermediate Results'!C150</f>
        <v>6.8070000000000004</v>
      </c>
      <c r="C156" s="11">
        <f t="shared" si="0"/>
        <v>4.4072278536800349</v>
      </c>
      <c r="D156" s="11">
        <f t="shared" si="1"/>
        <v>4.4072278536800349</v>
      </c>
      <c r="E156" s="10"/>
      <c r="F156" s="12" t="s">
        <v>345</v>
      </c>
      <c r="G156" s="11">
        <f t="shared" si="2"/>
        <v>0</v>
      </c>
      <c r="H156" s="11">
        <f t="shared" si="3"/>
        <v>1</v>
      </c>
      <c r="I156" s="13">
        <f t="shared" si="4"/>
        <v>30</v>
      </c>
    </row>
    <row r="157" spans="1:9" x14ac:dyDescent="0.2">
      <c r="A157" s="64" t="s">
        <v>562</v>
      </c>
      <c r="B157" s="9">
        <f>'Intermediate Results'!C151</f>
        <v>7.641</v>
      </c>
      <c r="C157" s="11">
        <f t="shared" si="0"/>
        <v>3.9261876717707107</v>
      </c>
      <c r="D157" s="11">
        <f t="shared" si="1"/>
        <v>3.9261876717707107</v>
      </c>
      <c r="E157" s="10"/>
      <c r="F157" s="12" t="s">
        <v>346</v>
      </c>
      <c r="G157" s="11">
        <f t="shared" si="2"/>
        <v>0</v>
      </c>
      <c r="H157" s="11">
        <f t="shared" si="3"/>
        <v>1</v>
      </c>
      <c r="I157" s="13">
        <f t="shared" si="4"/>
        <v>30</v>
      </c>
    </row>
    <row r="158" spans="1:9" x14ac:dyDescent="0.2">
      <c r="A158" s="64" t="s">
        <v>563</v>
      </c>
      <c r="B158" s="9">
        <f>'Intermediate Results'!C152</f>
        <v>7.5730000000000004</v>
      </c>
      <c r="C158" s="11">
        <f t="shared" si="0"/>
        <v>3.9614419648752142</v>
      </c>
      <c r="D158" s="11">
        <f t="shared" si="1"/>
        <v>3.9614419648752142</v>
      </c>
      <c r="E158" s="10"/>
      <c r="F158" s="12" t="s">
        <v>347</v>
      </c>
      <c r="G158" s="11">
        <f t="shared" si="2"/>
        <v>0</v>
      </c>
      <c r="H158" s="11">
        <f t="shared" si="3"/>
        <v>1</v>
      </c>
      <c r="I158" s="13">
        <f t="shared" si="4"/>
        <v>30</v>
      </c>
    </row>
    <row r="159" spans="1:9" x14ac:dyDescent="0.2">
      <c r="A159" s="64" t="s">
        <v>564</v>
      </c>
      <c r="B159" s="9">
        <f>'Intermediate Results'!C153</f>
        <v>2.0819999999999999</v>
      </c>
      <c r="C159" s="11">
        <f t="shared" si="0"/>
        <v>14.409221902017292</v>
      </c>
      <c r="D159" s="11">
        <f t="shared" si="1"/>
        <v>7.5</v>
      </c>
      <c r="E159" s="10"/>
      <c r="F159" s="12" t="s">
        <v>348</v>
      </c>
      <c r="G159" s="11">
        <f t="shared" si="2"/>
        <v>6.9092219020172916</v>
      </c>
      <c r="H159" s="11">
        <f t="shared" si="3"/>
        <v>1.9212295869356388</v>
      </c>
      <c r="I159" s="13">
        <f t="shared" si="4"/>
        <v>15.614999999999998</v>
      </c>
    </row>
    <row r="160" spans="1:9" x14ac:dyDescent="0.2">
      <c r="A160" s="64" t="s">
        <v>565</v>
      </c>
      <c r="B160" s="9">
        <f>'Intermediate Results'!C154</f>
        <v>6.5910000000000002</v>
      </c>
      <c r="C160" s="11">
        <f t="shared" si="0"/>
        <v>4.5516613563950843</v>
      </c>
      <c r="D160" s="11">
        <f t="shared" si="1"/>
        <v>4.5516613563950843</v>
      </c>
      <c r="E160" s="10"/>
      <c r="F160" s="12" t="s">
        <v>349</v>
      </c>
      <c r="G160" s="11">
        <f t="shared" si="2"/>
        <v>0</v>
      </c>
      <c r="H160" s="11">
        <f t="shared" si="3"/>
        <v>1</v>
      </c>
      <c r="I160" s="13">
        <f t="shared" si="4"/>
        <v>30</v>
      </c>
    </row>
    <row r="161" spans="1:9" x14ac:dyDescent="0.2">
      <c r="A161" s="64" t="s">
        <v>566</v>
      </c>
      <c r="B161" s="9">
        <f>'Intermediate Results'!C155</f>
        <v>8.093</v>
      </c>
      <c r="C161" s="11">
        <f t="shared" si="0"/>
        <v>3.7069072037563324</v>
      </c>
      <c r="D161" s="11">
        <f t="shared" si="1"/>
        <v>3.7069072037563324</v>
      </c>
      <c r="E161" s="10"/>
      <c r="F161" s="12" t="s">
        <v>350</v>
      </c>
      <c r="G161" s="11">
        <f t="shared" si="2"/>
        <v>0</v>
      </c>
      <c r="H161" s="11">
        <f t="shared" si="3"/>
        <v>1</v>
      </c>
      <c r="I161" s="13">
        <f t="shared" si="4"/>
        <v>29.999999999999996</v>
      </c>
    </row>
    <row r="162" spans="1:9" x14ac:dyDescent="0.2">
      <c r="A162" s="64" t="s">
        <v>567</v>
      </c>
      <c r="B162" s="9">
        <f>'Intermediate Results'!C156</f>
        <v>6.8140000000000001</v>
      </c>
      <c r="C162" s="11">
        <f t="shared" si="0"/>
        <v>4.4027003228646899</v>
      </c>
      <c r="D162" s="11">
        <f t="shared" si="1"/>
        <v>4.4027003228646899</v>
      </c>
      <c r="E162" s="10"/>
      <c r="F162" s="12" t="s">
        <v>351</v>
      </c>
      <c r="G162" s="11">
        <f t="shared" si="2"/>
        <v>0</v>
      </c>
      <c r="H162" s="11">
        <f t="shared" si="3"/>
        <v>1</v>
      </c>
      <c r="I162" s="13">
        <f t="shared" si="4"/>
        <v>29.999999999999996</v>
      </c>
    </row>
    <row r="163" spans="1:9" x14ac:dyDescent="0.2">
      <c r="A163" s="64" t="s">
        <v>568</v>
      </c>
      <c r="B163" s="9">
        <f>'Intermediate Results'!C157</f>
        <v>5.3929999999999998</v>
      </c>
      <c r="C163" s="11">
        <f t="shared" si="0"/>
        <v>5.5627665492304841</v>
      </c>
      <c r="D163" s="11">
        <f t="shared" si="1"/>
        <v>5.5627665492304841</v>
      </c>
      <c r="E163" s="10"/>
      <c r="F163" s="12" t="s">
        <v>352</v>
      </c>
      <c r="G163" s="11">
        <f t="shared" si="2"/>
        <v>0</v>
      </c>
      <c r="H163" s="11">
        <f t="shared" si="3"/>
        <v>1</v>
      </c>
      <c r="I163" s="13">
        <f t="shared" si="4"/>
        <v>30</v>
      </c>
    </row>
    <row r="164" spans="1:9" x14ac:dyDescent="0.2">
      <c r="A164" s="64" t="s">
        <v>569</v>
      </c>
      <c r="B164" s="9">
        <f>'Intermediate Results'!C158</f>
        <v>3.5419999999999998</v>
      </c>
      <c r="C164" s="11">
        <f t="shared" si="0"/>
        <v>8.4697910784867307</v>
      </c>
      <c r="D164" s="11">
        <f t="shared" si="1"/>
        <v>7.5</v>
      </c>
      <c r="E164" s="10"/>
      <c r="F164" s="12" t="s">
        <v>353</v>
      </c>
      <c r="G164" s="11">
        <f t="shared" si="2"/>
        <v>0.96979107848673074</v>
      </c>
      <c r="H164" s="11">
        <f t="shared" si="3"/>
        <v>1.129305477131564</v>
      </c>
      <c r="I164" s="13">
        <f t="shared" si="4"/>
        <v>26.564999999999998</v>
      </c>
    </row>
    <row r="165" spans="1:9" x14ac:dyDescent="0.2">
      <c r="A165" s="64" t="s">
        <v>570</v>
      </c>
      <c r="B165" s="9">
        <f>'Intermediate Results'!C159</f>
        <v>5.2949999999999999</v>
      </c>
      <c r="C165" s="11">
        <f t="shared" si="0"/>
        <v>5.6657223796033991</v>
      </c>
      <c r="D165" s="11">
        <f t="shared" si="1"/>
        <v>5.6657223796033991</v>
      </c>
      <c r="E165" s="10"/>
      <c r="F165" s="12" t="s">
        <v>354</v>
      </c>
      <c r="G165" s="11">
        <f t="shared" si="2"/>
        <v>0</v>
      </c>
      <c r="H165" s="11">
        <f t="shared" si="3"/>
        <v>1</v>
      </c>
      <c r="I165" s="13">
        <f t="shared" si="4"/>
        <v>29.999999999999996</v>
      </c>
    </row>
    <row r="166" spans="1:9" x14ac:dyDescent="0.2">
      <c r="A166" s="64" t="s">
        <v>571</v>
      </c>
      <c r="B166" s="9">
        <f>'Intermediate Results'!C160</f>
        <v>5.3079999999999998</v>
      </c>
      <c r="C166" s="11">
        <f t="shared" si="0"/>
        <v>5.651846269781462</v>
      </c>
      <c r="D166" s="11">
        <f t="shared" si="1"/>
        <v>5.651846269781462</v>
      </c>
      <c r="E166" s="10"/>
      <c r="F166" s="12" t="s">
        <v>355</v>
      </c>
      <c r="G166" s="11">
        <f t="shared" si="2"/>
        <v>0</v>
      </c>
      <c r="H166" s="11">
        <f t="shared" si="3"/>
        <v>1</v>
      </c>
      <c r="I166" s="13">
        <f t="shared" si="4"/>
        <v>30</v>
      </c>
    </row>
    <row r="167" spans="1:9" x14ac:dyDescent="0.2">
      <c r="A167" s="64" t="s">
        <v>572</v>
      </c>
      <c r="B167" s="9">
        <f>'Intermediate Results'!C161</f>
        <v>3.7509999999999999</v>
      </c>
      <c r="C167" s="11">
        <f t="shared" si="0"/>
        <v>7.9978672354038922</v>
      </c>
      <c r="D167" s="11">
        <f t="shared" si="1"/>
        <v>7.5</v>
      </c>
      <c r="E167" s="10"/>
      <c r="F167" s="12" t="s">
        <v>356</v>
      </c>
      <c r="G167" s="11">
        <f t="shared" si="2"/>
        <v>0.49786723540389222</v>
      </c>
      <c r="H167" s="11">
        <f t="shared" si="3"/>
        <v>1.0663822980538522</v>
      </c>
      <c r="I167" s="13">
        <f t="shared" si="4"/>
        <v>28.1325</v>
      </c>
    </row>
    <row r="168" spans="1:9" x14ac:dyDescent="0.2">
      <c r="A168" s="64" t="s">
        <v>573</v>
      </c>
      <c r="B168" s="9">
        <f>'Intermediate Results'!C162</f>
        <v>4.9390000000000001</v>
      </c>
      <c r="C168" s="11">
        <f t="shared" si="0"/>
        <v>6.0741040696497262</v>
      </c>
      <c r="D168" s="11">
        <f t="shared" si="1"/>
        <v>6.0741040696497262</v>
      </c>
      <c r="E168" s="10"/>
      <c r="F168" s="12" t="s">
        <v>357</v>
      </c>
      <c r="G168" s="11">
        <f t="shared" si="2"/>
        <v>0</v>
      </c>
      <c r="H168" s="11">
        <f t="shared" si="3"/>
        <v>1</v>
      </c>
      <c r="I168" s="13">
        <f t="shared" si="4"/>
        <v>29.999999999999996</v>
      </c>
    </row>
    <row r="169" spans="1:9" x14ac:dyDescent="0.2">
      <c r="A169" s="64" t="s">
        <v>574</v>
      </c>
      <c r="B169" s="9">
        <f>'Intermediate Results'!C163</f>
        <v>3.738</v>
      </c>
      <c r="C169" s="11">
        <f t="shared" si="0"/>
        <v>8.0256821829855536</v>
      </c>
      <c r="D169" s="11">
        <f t="shared" si="1"/>
        <v>7.5</v>
      </c>
      <c r="E169" s="10"/>
      <c r="F169" s="12" t="s">
        <v>358</v>
      </c>
      <c r="G169" s="11">
        <f t="shared" si="2"/>
        <v>0.52568218298555358</v>
      </c>
      <c r="H169" s="11">
        <f t="shared" si="3"/>
        <v>1.0700909577314071</v>
      </c>
      <c r="I169" s="13">
        <f t="shared" si="4"/>
        <v>28.035</v>
      </c>
    </row>
    <row r="170" spans="1:9" x14ac:dyDescent="0.2">
      <c r="A170" s="64" t="s">
        <v>575</v>
      </c>
      <c r="B170" s="9">
        <f>'Intermediate Results'!C164</f>
        <v>4.4059999999999997</v>
      </c>
      <c r="C170" s="11">
        <f t="shared" si="0"/>
        <v>6.8088969586926922</v>
      </c>
      <c r="D170" s="11">
        <f t="shared" si="1"/>
        <v>6.8088969586926922</v>
      </c>
      <c r="E170" s="10"/>
      <c r="F170" s="12" t="s">
        <v>74</v>
      </c>
      <c r="G170" s="11">
        <f t="shared" si="2"/>
        <v>0</v>
      </c>
      <c r="H170" s="11">
        <f t="shared" si="3"/>
        <v>1</v>
      </c>
      <c r="I170" s="13">
        <f t="shared" si="4"/>
        <v>30</v>
      </c>
    </row>
    <row r="171" spans="1:9" x14ac:dyDescent="0.2">
      <c r="A171" s="64" t="s">
        <v>576</v>
      </c>
      <c r="B171" s="9">
        <f>'Intermediate Results'!C165</f>
        <v>5.5810000000000004</v>
      </c>
      <c r="C171" s="11">
        <f t="shared" si="0"/>
        <v>5.3753807561368925</v>
      </c>
      <c r="D171" s="11">
        <f t="shared" si="1"/>
        <v>5.3753807561368925</v>
      </c>
      <c r="E171" s="10"/>
      <c r="F171" s="12" t="s">
        <v>75</v>
      </c>
      <c r="G171" s="11">
        <f t="shared" si="2"/>
        <v>0</v>
      </c>
      <c r="H171" s="11">
        <f t="shared" si="3"/>
        <v>1</v>
      </c>
      <c r="I171" s="13">
        <f t="shared" si="4"/>
        <v>30</v>
      </c>
    </row>
    <row r="172" spans="1:9" x14ac:dyDescent="0.2">
      <c r="A172" s="64" t="s">
        <v>577</v>
      </c>
      <c r="B172" s="9">
        <f>'Intermediate Results'!C166</f>
        <v>5.0599999999999996</v>
      </c>
      <c r="C172" s="11">
        <f t="shared" si="0"/>
        <v>5.9288537549407119</v>
      </c>
      <c r="D172" s="11">
        <f t="shared" si="1"/>
        <v>5.9288537549407119</v>
      </c>
      <c r="E172" s="10"/>
      <c r="F172" s="12" t="s">
        <v>76</v>
      </c>
      <c r="G172" s="11">
        <f t="shared" si="2"/>
        <v>0</v>
      </c>
      <c r="H172" s="11">
        <f t="shared" si="3"/>
        <v>1</v>
      </c>
      <c r="I172" s="13">
        <f t="shared" si="4"/>
        <v>30</v>
      </c>
    </row>
    <row r="173" spans="1:9" x14ac:dyDescent="0.2">
      <c r="A173" s="64" t="s">
        <v>578</v>
      </c>
      <c r="B173" s="9">
        <f>'Intermediate Results'!C167</f>
        <v>6.5720000000000001</v>
      </c>
      <c r="C173" s="11">
        <f t="shared" si="0"/>
        <v>4.5648204503956178</v>
      </c>
      <c r="D173" s="11">
        <f t="shared" si="1"/>
        <v>4.5648204503956178</v>
      </c>
      <c r="E173" s="10"/>
      <c r="F173" s="12" t="s">
        <v>77</v>
      </c>
      <c r="G173" s="11">
        <f t="shared" si="2"/>
        <v>0</v>
      </c>
      <c r="H173" s="11">
        <f t="shared" si="3"/>
        <v>1</v>
      </c>
      <c r="I173" s="13">
        <f t="shared" si="4"/>
        <v>30</v>
      </c>
    </row>
    <row r="174" spans="1:9" x14ac:dyDescent="0.2">
      <c r="A174" s="64" t="s">
        <v>579</v>
      </c>
      <c r="B174" s="9">
        <f>'Intermediate Results'!C168</f>
        <v>6.58</v>
      </c>
      <c r="C174" s="11">
        <f t="shared" si="0"/>
        <v>4.5592705167173255</v>
      </c>
      <c r="D174" s="11">
        <f t="shared" si="1"/>
        <v>4.5592705167173255</v>
      </c>
      <c r="E174" s="10"/>
      <c r="F174" s="12" t="s">
        <v>78</v>
      </c>
      <c r="G174" s="11">
        <f t="shared" si="2"/>
        <v>0</v>
      </c>
      <c r="H174" s="11">
        <f t="shared" si="3"/>
        <v>1</v>
      </c>
      <c r="I174" s="13">
        <f t="shared" si="4"/>
        <v>30.000000000000004</v>
      </c>
    </row>
    <row r="175" spans="1:9" x14ac:dyDescent="0.2">
      <c r="A175" s="64" t="s">
        <v>580</v>
      </c>
      <c r="B175" s="9">
        <f>'Intermediate Results'!C169</f>
        <v>6.8170000000000002</v>
      </c>
      <c r="C175" s="11">
        <f t="shared" si="0"/>
        <v>4.4007627988851397</v>
      </c>
      <c r="D175" s="11">
        <f t="shared" si="1"/>
        <v>4.4007627988851397</v>
      </c>
      <c r="E175" s="10"/>
      <c r="F175" s="12" t="s">
        <v>79</v>
      </c>
      <c r="G175" s="11">
        <f t="shared" si="2"/>
        <v>0</v>
      </c>
      <c r="H175" s="11">
        <f t="shared" si="3"/>
        <v>1</v>
      </c>
      <c r="I175" s="13">
        <f t="shared" si="4"/>
        <v>29.999999999999996</v>
      </c>
    </row>
    <row r="176" spans="1:9" x14ac:dyDescent="0.2">
      <c r="A176" s="64" t="s">
        <v>581</v>
      </c>
      <c r="B176" s="9">
        <f>'Intermediate Results'!C170</f>
        <v>4.3109999999999999</v>
      </c>
      <c r="C176" s="11">
        <f t="shared" si="0"/>
        <v>6.9589422407794013</v>
      </c>
      <c r="D176" s="11">
        <f t="shared" si="1"/>
        <v>6.9589422407794013</v>
      </c>
      <c r="E176" s="10"/>
      <c r="F176" s="12" t="s">
        <v>80</v>
      </c>
      <c r="G176" s="11">
        <f t="shared" si="2"/>
        <v>0</v>
      </c>
      <c r="H176" s="11">
        <f t="shared" si="3"/>
        <v>1</v>
      </c>
      <c r="I176" s="13">
        <f t="shared" si="4"/>
        <v>30</v>
      </c>
    </row>
    <row r="177" spans="1:9" x14ac:dyDescent="0.2">
      <c r="A177" s="64" t="s">
        <v>582</v>
      </c>
      <c r="B177" s="9">
        <f>'Intermediate Results'!C171</f>
        <v>4.6959999999999997</v>
      </c>
      <c r="C177" s="11">
        <f t="shared" si="0"/>
        <v>6.3884156729131183</v>
      </c>
      <c r="D177" s="11">
        <f t="shared" si="1"/>
        <v>6.3884156729131183</v>
      </c>
      <c r="E177" s="10"/>
      <c r="F177" s="12" t="s">
        <v>81</v>
      </c>
      <c r="G177" s="11">
        <f t="shared" si="2"/>
        <v>0</v>
      </c>
      <c r="H177" s="11">
        <f t="shared" si="3"/>
        <v>1</v>
      </c>
      <c r="I177" s="13">
        <f t="shared" si="4"/>
        <v>30.000000000000004</v>
      </c>
    </row>
    <row r="178" spans="1:9" x14ac:dyDescent="0.2">
      <c r="A178" s="64" t="s">
        <v>583</v>
      </c>
      <c r="B178" s="9">
        <f>'Intermediate Results'!C172</f>
        <v>6.5579999999999998</v>
      </c>
      <c r="C178" s="11">
        <f t="shared" si="0"/>
        <v>4.574565416285453</v>
      </c>
      <c r="D178" s="11">
        <f t="shared" si="1"/>
        <v>4.574565416285453</v>
      </c>
      <c r="E178" s="10"/>
      <c r="F178" s="12" t="s">
        <v>359</v>
      </c>
      <c r="G178" s="11">
        <f t="shared" si="2"/>
        <v>0</v>
      </c>
      <c r="H178" s="11">
        <f t="shared" si="3"/>
        <v>1</v>
      </c>
      <c r="I178" s="13">
        <f t="shared" si="4"/>
        <v>30</v>
      </c>
    </row>
    <row r="179" spans="1:9" x14ac:dyDescent="0.2">
      <c r="A179" s="64" t="s">
        <v>584</v>
      </c>
      <c r="B179" s="9">
        <f>'Intermediate Results'!C173</f>
        <v>5.609</v>
      </c>
      <c r="C179" s="11">
        <f t="shared" si="0"/>
        <v>5.3485469780709574</v>
      </c>
      <c r="D179" s="11">
        <f t="shared" si="1"/>
        <v>5.3485469780709574</v>
      </c>
      <c r="E179" s="10"/>
      <c r="F179" s="12" t="s">
        <v>360</v>
      </c>
      <c r="G179" s="11">
        <f t="shared" si="2"/>
        <v>0</v>
      </c>
      <c r="H179" s="11">
        <f t="shared" si="3"/>
        <v>1</v>
      </c>
      <c r="I179" s="13">
        <f t="shared" si="4"/>
        <v>30</v>
      </c>
    </row>
    <row r="180" spans="1:9" x14ac:dyDescent="0.2">
      <c r="A180" s="64" t="s">
        <v>585</v>
      </c>
      <c r="B180" s="9">
        <f>'Intermediate Results'!C174</f>
        <v>5.069</v>
      </c>
      <c r="C180" s="11">
        <f t="shared" si="0"/>
        <v>5.9183270862102981</v>
      </c>
      <c r="D180" s="11">
        <f t="shared" si="1"/>
        <v>5.9183270862102981</v>
      </c>
      <c r="E180" s="10"/>
      <c r="F180" s="12" t="s">
        <v>361</v>
      </c>
      <c r="G180" s="11">
        <f t="shared" si="2"/>
        <v>0</v>
      </c>
      <c r="H180" s="11">
        <f t="shared" si="3"/>
        <v>1</v>
      </c>
      <c r="I180" s="13">
        <f t="shared" si="4"/>
        <v>30</v>
      </c>
    </row>
    <row r="181" spans="1:9" x14ac:dyDescent="0.2">
      <c r="A181" s="64" t="s">
        <v>586</v>
      </c>
      <c r="B181" s="9">
        <f>'Intermediate Results'!C175</f>
        <v>5.2539999999999996</v>
      </c>
      <c r="C181" s="11">
        <f t="shared" si="0"/>
        <v>5.7099352874000768</v>
      </c>
      <c r="D181" s="11">
        <f t="shared" si="1"/>
        <v>5.7099352874000768</v>
      </c>
      <c r="E181" s="10"/>
      <c r="F181" s="12" t="s">
        <v>362</v>
      </c>
      <c r="G181" s="11">
        <f t="shared" si="2"/>
        <v>0</v>
      </c>
      <c r="H181" s="11">
        <f t="shared" si="3"/>
        <v>1</v>
      </c>
      <c r="I181" s="13">
        <f t="shared" si="4"/>
        <v>30</v>
      </c>
    </row>
    <row r="182" spans="1:9" x14ac:dyDescent="0.2">
      <c r="A182" s="64" t="s">
        <v>587</v>
      </c>
      <c r="B182" s="9">
        <f>'Intermediate Results'!C176</f>
        <v>5.51</v>
      </c>
      <c r="C182" s="11">
        <f t="shared" si="0"/>
        <v>5.4446460980036298</v>
      </c>
      <c r="D182" s="11">
        <f t="shared" si="1"/>
        <v>5.4446460980036298</v>
      </c>
      <c r="E182" s="10"/>
      <c r="F182" s="12" t="s">
        <v>363</v>
      </c>
      <c r="G182" s="11">
        <f t="shared" si="2"/>
        <v>0</v>
      </c>
      <c r="H182" s="11">
        <f t="shared" si="3"/>
        <v>1</v>
      </c>
      <c r="I182" s="13">
        <f t="shared" si="4"/>
        <v>30</v>
      </c>
    </row>
    <row r="183" spans="1:9" x14ac:dyDescent="0.2">
      <c r="A183" s="64" t="s">
        <v>588</v>
      </c>
      <c r="B183" s="9">
        <f>'Intermediate Results'!C177</f>
        <v>5.9180000000000001</v>
      </c>
      <c r="C183" s="11">
        <f t="shared" si="0"/>
        <v>5.0692801622169652</v>
      </c>
      <c r="D183" s="11">
        <f t="shared" si="1"/>
        <v>5.0692801622169652</v>
      </c>
      <c r="E183" s="10"/>
      <c r="F183" s="12" t="s">
        <v>364</v>
      </c>
      <c r="G183" s="11">
        <f t="shared" si="2"/>
        <v>0</v>
      </c>
      <c r="H183" s="11">
        <f t="shared" si="3"/>
        <v>1</v>
      </c>
      <c r="I183" s="13">
        <f t="shared" si="4"/>
        <v>30</v>
      </c>
    </row>
    <row r="184" spans="1:9" x14ac:dyDescent="0.2">
      <c r="A184" s="64" t="s">
        <v>589</v>
      </c>
      <c r="B184" s="9">
        <f>'Intermediate Results'!C178</f>
        <v>4.5720000000000001</v>
      </c>
      <c r="C184" s="11">
        <f t="shared" si="0"/>
        <v>6.5616797900262469</v>
      </c>
      <c r="D184" s="11">
        <f t="shared" si="1"/>
        <v>6.5616797900262469</v>
      </c>
      <c r="E184" s="10"/>
      <c r="F184" s="12" t="s">
        <v>365</v>
      </c>
      <c r="G184" s="11">
        <f t="shared" si="2"/>
        <v>0</v>
      </c>
      <c r="H184" s="11">
        <f t="shared" si="3"/>
        <v>1</v>
      </c>
      <c r="I184" s="13">
        <f t="shared" si="4"/>
        <v>30</v>
      </c>
    </row>
    <row r="185" spans="1:9" x14ac:dyDescent="0.2">
      <c r="A185" s="64" t="s">
        <v>590</v>
      </c>
      <c r="B185" s="9">
        <f>'Intermediate Results'!C179</f>
        <v>4.66</v>
      </c>
      <c r="C185" s="11">
        <f t="shared" si="0"/>
        <v>6.4377682403433472</v>
      </c>
      <c r="D185" s="11">
        <f t="shared" si="1"/>
        <v>6.4377682403433472</v>
      </c>
      <c r="E185" s="10"/>
      <c r="F185" s="12" t="s">
        <v>366</v>
      </c>
      <c r="G185" s="11">
        <f t="shared" si="2"/>
        <v>0</v>
      </c>
      <c r="H185" s="11">
        <f t="shared" si="3"/>
        <v>1</v>
      </c>
      <c r="I185" s="13">
        <f t="shared" si="4"/>
        <v>30</v>
      </c>
    </row>
    <row r="186" spans="1:9" x14ac:dyDescent="0.2">
      <c r="A186" s="64" t="s">
        <v>591</v>
      </c>
      <c r="B186" s="9">
        <f>'Intermediate Results'!C180</f>
        <v>3.7789999999999999</v>
      </c>
      <c r="C186" s="11">
        <f t="shared" si="0"/>
        <v>7.9386080973802597</v>
      </c>
      <c r="D186" s="11">
        <f t="shared" si="1"/>
        <v>7.5</v>
      </c>
      <c r="E186" s="10"/>
      <c r="F186" s="12" t="s">
        <v>367</v>
      </c>
      <c r="G186" s="11">
        <f t="shared" si="2"/>
        <v>0.43860809738025974</v>
      </c>
      <c r="H186" s="11">
        <f t="shared" si="3"/>
        <v>1.0584810796507014</v>
      </c>
      <c r="I186" s="13">
        <f t="shared" si="4"/>
        <v>28.342500000000001</v>
      </c>
    </row>
    <row r="187" spans="1:9" x14ac:dyDescent="0.2">
      <c r="A187" s="64" t="s">
        <v>592</v>
      </c>
      <c r="B187" s="9">
        <f>'Intermediate Results'!C181</f>
        <v>5.5709999999999997</v>
      </c>
      <c r="C187" s="11">
        <f t="shared" si="0"/>
        <v>5.3850296176628971</v>
      </c>
      <c r="D187" s="11">
        <f t="shared" si="1"/>
        <v>5.3850296176628971</v>
      </c>
      <c r="E187" s="10"/>
      <c r="F187" s="12" t="s">
        <v>368</v>
      </c>
      <c r="G187" s="11">
        <f t="shared" si="2"/>
        <v>0</v>
      </c>
      <c r="H187" s="11">
        <f t="shared" si="3"/>
        <v>1</v>
      </c>
      <c r="I187" s="13">
        <f t="shared" si="4"/>
        <v>30</v>
      </c>
    </row>
    <row r="188" spans="1:9" x14ac:dyDescent="0.2">
      <c r="A188" s="64" t="s">
        <v>593</v>
      </c>
      <c r="B188" s="9">
        <f>'Intermediate Results'!C182</f>
        <v>4.7110000000000003</v>
      </c>
      <c r="C188" s="11">
        <f t="shared" si="0"/>
        <v>6.3680747187433662</v>
      </c>
      <c r="D188" s="11">
        <f t="shared" si="1"/>
        <v>6.3680747187433662</v>
      </c>
      <c r="E188" s="10"/>
      <c r="F188" s="12" t="s">
        <v>369</v>
      </c>
      <c r="G188" s="11">
        <f t="shared" si="2"/>
        <v>0</v>
      </c>
      <c r="H188" s="11">
        <f t="shared" si="3"/>
        <v>1</v>
      </c>
      <c r="I188" s="13">
        <f t="shared" si="4"/>
        <v>30</v>
      </c>
    </row>
    <row r="189" spans="1:9" x14ac:dyDescent="0.2">
      <c r="A189" s="64" t="s">
        <v>594</v>
      </c>
      <c r="B189" s="9">
        <f>'Intermediate Results'!C183</f>
        <v>5.5750000000000002</v>
      </c>
      <c r="C189" s="11">
        <f t="shared" si="0"/>
        <v>5.3811659192825108</v>
      </c>
      <c r="D189" s="11">
        <f t="shared" si="1"/>
        <v>5.3811659192825108</v>
      </c>
      <c r="E189" s="10"/>
      <c r="F189" s="12" t="s">
        <v>370</v>
      </c>
      <c r="G189" s="11">
        <f t="shared" si="2"/>
        <v>0</v>
      </c>
      <c r="H189" s="11">
        <f t="shared" si="3"/>
        <v>1</v>
      </c>
      <c r="I189" s="13">
        <f t="shared" si="4"/>
        <v>30</v>
      </c>
    </row>
    <row r="190" spans="1:9" x14ac:dyDescent="0.2">
      <c r="A190" s="64" t="s">
        <v>595</v>
      </c>
      <c r="B190" s="9">
        <f>'Intermediate Results'!C184</f>
        <v>6.8780000000000001</v>
      </c>
      <c r="C190" s="11">
        <f t="shared" si="0"/>
        <v>4.3617330619366097</v>
      </c>
      <c r="D190" s="11">
        <f t="shared" si="1"/>
        <v>4.3617330619366097</v>
      </c>
      <c r="E190" s="10"/>
      <c r="F190" s="12" t="s">
        <v>371</v>
      </c>
      <c r="G190" s="11">
        <f t="shared" si="2"/>
        <v>0</v>
      </c>
      <c r="H190" s="11">
        <f t="shared" si="3"/>
        <v>1</v>
      </c>
      <c r="I190" s="13">
        <f t="shared" si="4"/>
        <v>30.000000000000004</v>
      </c>
    </row>
    <row r="191" spans="1:9" x14ac:dyDescent="0.2">
      <c r="A191" s="64" t="s">
        <v>596</v>
      </c>
      <c r="B191" s="9">
        <f>'Intermediate Results'!C185</f>
        <v>7.1459999999999999</v>
      </c>
      <c r="C191" s="11">
        <f t="shared" si="0"/>
        <v>4.1981528127623848</v>
      </c>
      <c r="D191" s="11">
        <f t="shared" si="1"/>
        <v>4.1981528127623848</v>
      </c>
      <c r="E191" s="10"/>
      <c r="F191" s="12" t="s">
        <v>372</v>
      </c>
      <c r="G191" s="11">
        <f t="shared" si="2"/>
        <v>0</v>
      </c>
      <c r="H191" s="11">
        <f t="shared" si="3"/>
        <v>1</v>
      </c>
      <c r="I191" s="13">
        <f t="shared" si="4"/>
        <v>30</v>
      </c>
    </row>
    <row r="192" spans="1:9" x14ac:dyDescent="0.2">
      <c r="A192" s="64" t="s">
        <v>597</v>
      </c>
      <c r="B192" s="9">
        <f>'Intermediate Results'!C186</f>
        <v>5.9539999999999997</v>
      </c>
      <c r="C192" s="11">
        <f t="shared" si="0"/>
        <v>5.0386294927779645</v>
      </c>
      <c r="D192" s="11">
        <f t="shared" si="1"/>
        <v>5.0386294927779645</v>
      </c>
      <c r="E192" s="10"/>
      <c r="F192" s="12" t="s">
        <v>373</v>
      </c>
      <c r="G192" s="11">
        <f t="shared" si="2"/>
        <v>0</v>
      </c>
      <c r="H192" s="11">
        <f t="shared" si="3"/>
        <v>1</v>
      </c>
      <c r="I192" s="13">
        <f t="shared" si="4"/>
        <v>30</v>
      </c>
    </row>
    <row r="193" spans="1:9" x14ac:dyDescent="0.2">
      <c r="A193" s="64" t="s">
        <v>598</v>
      </c>
      <c r="B193" s="9">
        <f>'Intermediate Results'!C187</f>
        <v>6.9020000000000001</v>
      </c>
      <c r="C193" s="11">
        <f t="shared" si="0"/>
        <v>4.3465662126919735</v>
      </c>
      <c r="D193" s="11">
        <f t="shared" si="1"/>
        <v>4.3465662126919735</v>
      </c>
      <c r="E193" s="10"/>
      <c r="F193" s="12" t="s">
        <v>374</v>
      </c>
      <c r="G193" s="11">
        <f t="shared" si="2"/>
        <v>0</v>
      </c>
      <c r="H193" s="11">
        <f t="shared" si="3"/>
        <v>1</v>
      </c>
      <c r="I193" s="13">
        <f t="shared" si="4"/>
        <v>30.000000000000004</v>
      </c>
    </row>
    <row r="194" spans="1:9" x14ac:dyDescent="0.2">
      <c r="A194" s="64" t="s">
        <v>599</v>
      </c>
      <c r="B194" s="9">
        <f>'Intermediate Results'!C188</f>
        <v>6.2789999999999999</v>
      </c>
      <c r="C194" s="11">
        <f t="shared" si="0"/>
        <v>4.7778308647873864</v>
      </c>
      <c r="D194" s="11">
        <f t="shared" si="1"/>
        <v>4.7778308647873864</v>
      </c>
      <c r="E194" s="10"/>
      <c r="F194" s="12" t="s">
        <v>375</v>
      </c>
      <c r="G194" s="11">
        <f t="shared" si="2"/>
        <v>0</v>
      </c>
      <c r="H194" s="11">
        <f t="shared" si="3"/>
        <v>1</v>
      </c>
      <c r="I194" s="13">
        <f t="shared" si="4"/>
        <v>30</v>
      </c>
    </row>
    <row r="195" spans="1:9" x14ac:dyDescent="0.2">
      <c r="A195" s="64" t="s">
        <v>600</v>
      </c>
      <c r="B195" s="9">
        <f>'Intermediate Results'!C189</f>
        <v>5.93</v>
      </c>
      <c r="C195" s="11">
        <f t="shared" si="0"/>
        <v>5.0590219224283306</v>
      </c>
      <c r="D195" s="11">
        <f t="shared" si="1"/>
        <v>5.0590219224283306</v>
      </c>
      <c r="E195" s="10"/>
      <c r="F195" s="12" t="s">
        <v>376</v>
      </c>
      <c r="G195" s="11">
        <f t="shared" si="2"/>
        <v>0</v>
      </c>
      <c r="H195" s="11">
        <f t="shared" si="3"/>
        <v>1</v>
      </c>
      <c r="I195" s="13">
        <f t="shared" si="4"/>
        <v>30</v>
      </c>
    </row>
    <row r="196" spans="1:9" x14ac:dyDescent="0.2">
      <c r="A196" s="64" t="s">
        <v>601</v>
      </c>
      <c r="B196" s="9">
        <f>'Intermediate Results'!C190</f>
        <v>2.5310000000000001</v>
      </c>
      <c r="C196" s="11">
        <f t="shared" si="0"/>
        <v>11.853022520742789</v>
      </c>
      <c r="D196" s="11">
        <f t="shared" si="1"/>
        <v>7.5</v>
      </c>
      <c r="E196" s="10"/>
      <c r="F196" s="12" t="s">
        <v>377</v>
      </c>
      <c r="G196" s="11">
        <f t="shared" si="2"/>
        <v>4.3530225207427886</v>
      </c>
      <c r="H196" s="11">
        <f t="shared" si="3"/>
        <v>1.5804030027657052</v>
      </c>
      <c r="I196" s="13">
        <f t="shared" si="4"/>
        <v>18.982500000000002</v>
      </c>
    </row>
    <row r="197" spans="1:9" x14ac:dyDescent="0.2">
      <c r="A197" s="64" t="s">
        <v>602</v>
      </c>
      <c r="B197" s="9">
        <f>'Intermediate Results'!C191</f>
        <v>4.8159999999999998</v>
      </c>
      <c r="C197" s="11">
        <f t="shared" si="0"/>
        <v>6.2292358803986714</v>
      </c>
      <c r="D197" s="11">
        <f t="shared" si="1"/>
        <v>6.2292358803986714</v>
      </c>
      <c r="E197" s="10"/>
      <c r="F197" s="12" t="s">
        <v>378</v>
      </c>
      <c r="G197" s="11">
        <f t="shared" si="2"/>
        <v>0</v>
      </c>
      <c r="H197" s="11">
        <f t="shared" si="3"/>
        <v>1</v>
      </c>
      <c r="I197" s="13">
        <f t="shared" si="4"/>
        <v>30</v>
      </c>
    </row>
    <row r="198" spans="1:9" x14ac:dyDescent="0.2">
      <c r="A198" s="64" t="s">
        <v>603</v>
      </c>
      <c r="B198" s="9">
        <f>'Intermediate Results'!C192</f>
        <v>6.0810000000000004</v>
      </c>
      <c r="C198" s="11">
        <f t="shared" si="0"/>
        <v>4.9333991119881597</v>
      </c>
      <c r="D198" s="11">
        <f t="shared" si="1"/>
        <v>4.9333991119881597</v>
      </c>
      <c r="E198" s="10"/>
      <c r="F198" s="12" t="s">
        <v>379</v>
      </c>
      <c r="G198" s="11">
        <f t="shared" si="2"/>
        <v>0</v>
      </c>
      <c r="H198" s="11">
        <f t="shared" si="3"/>
        <v>1</v>
      </c>
      <c r="I198" s="13">
        <f t="shared" si="4"/>
        <v>30</v>
      </c>
    </row>
    <row r="199" spans="1:9" x14ac:dyDescent="0.2">
      <c r="A199" s="64" t="s">
        <v>604</v>
      </c>
      <c r="B199" s="9">
        <f>'Intermediate Results'!C193</f>
        <v>4.6520000000000001</v>
      </c>
      <c r="C199" s="11">
        <f t="shared" si="0"/>
        <v>6.44883920894239</v>
      </c>
      <c r="D199" s="11">
        <f t="shared" si="1"/>
        <v>6.44883920894239</v>
      </c>
      <c r="E199" s="10"/>
      <c r="F199" s="12" t="s">
        <v>380</v>
      </c>
      <c r="G199" s="11">
        <f t="shared" si="2"/>
        <v>0</v>
      </c>
      <c r="H199" s="11">
        <f t="shared" si="3"/>
        <v>1</v>
      </c>
      <c r="I199" s="13">
        <f t="shared" si="4"/>
        <v>30</v>
      </c>
    </row>
    <row r="200" spans="1:9" x14ac:dyDescent="0.2">
      <c r="A200" s="64" t="s">
        <v>605</v>
      </c>
      <c r="B200" s="9">
        <f>'Intermediate Results'!C194</f>
        <v>2.9540000000000002</v>
      </c>
      <c r="C200" s="11">
        <f t="shared" si="0"/>
        <v>10.15572105619499</v>
      </c>
      <c r="D200" s="11">
        <f t="shared" si="1"/>
        <v>7.5</v>
      </c>
      <c r="E200" s="10"/>
      <c r="F200" s="12" t="s">
        <v>381</v>
      </c>
      <c r="G200" s="11">
        <f t="shared" si="2"/>
        <v>2.6557210561949898</v>
      </c>
      <c r="H200" s="11">
        <f t="shared" si="3"/>
        <v>1.3540961408259986</v>
      </c>
      <c r="I200" s="13">
        <f t="shared" si="4"/>
        <v>22.155000000000001</v>
      </c>
    </row>
    <row r="201" spans="1:9" x14ac:dyDescent="0.2">
      <c r="A201" s="64" t="s">
        <v>606</v>
      </c>
      <c r="B201" s="9">
        <f>'Intermediate Results'!C195</f>
        <v>3.855</v>
      </c>
      <c r="C201" s="11">
        <f t="shared" si="0"/>
        <v>7.782101167315175</v>
      </c>
      <c r="D201" s="11">
        <f t="shared" si="1"/>
        <v>7.5</v>
      </c>
      <c r="E201" s="10"/>
      <c r="F201" s="12" t="s">
        <v>382</v>
      </c>
      <c r="G201" s="11">
        <f t="shared" si="2"/>
        <v>0.28210116731517498</v>
      </c>
      <c r="H201" s="11">
        <f t="shared" si="3"/>
        <v>1.0376134889753568</v>
      </c>
      <c r="I201" s="13">
        <f t="shared" si="4"/>
        <v>28.912500000000001</v>
      </c>
    </row>
    <row r="202" spans="1:9" x14ac:dyDescent="0.2">
      <c r="A202" s="64" t="s">
        <v>607</v>
      </c>
      <c r="B202" s="9">
        <f>'Intermediate Results'!C196</f>
        <v>6.1269999999999998</v>
      </c>
      <c r="C202" s="11">
        <f t="shared" si="0"/>
        <v>4.8963603721233886</v>
      </c>
      <c r="D202" s="11">
        <f t="shared" si="1"/>
        <v>4.8963603721233886</v>
      </c>
      <c r="E202" s="10"/>
      <c r="F202" s="12" t="s">
        <v>87</v>
      </c>
      <c r="G202" s="11">
        <f t="shared" si="2"/>
        <v>0</v>
      </c>
      <c r="H202" s="11">
        <f t="shared" si="3"/>
        <v>1</v>
      </c>
      <c r="I202" s="13">
        <f t="shared" si="4"/>
        <v>30</v>
      </c>
    </row>
    <row r="203" spans="1:9" x14ac:dyDescent="0.2">
      <c r="A203" s="64" t="s">
        <v>608</v>
      </c>
      <c r="B203" s="9">
        <f>'Intermediate Results'!C197</f>
        <v>7.2249999999999996</v>
      </c>
      <c r="C203" s="11">
        <f t="shared" si="0"/>
        <v>4.1522491349480974</v>
      </c>
      <c r="D203" s="11">
        <f t="shared" si="1"/>
        <v>4.1522491349480974</v>
      </c>
      <c r="E203" s="10"/>
      <c r="F203" s="12" t="s">
        <v>88</v>
      </c>
      <c r="G203" s="11">
        <f t="shared" si="2"/>
        <v>0</v>
      </c>
      <c r="H203" s="11">
        <f t="shared" si="3"/>
        <v>1</v>
      </c>
      <c r="I203" s="13">
        <f t="shared" si="4"/>
        <v>30.000000000000004</v>
      </c>
    </row>
    <row r="204" spans="1:9" x14ac:dyDescent="0.2">
      <c r="A204" s="64" t="s">
        <v>609</v>
      </c>
      <c r="B204" s="9">
        <f>'Intermediate Results'!C198</f>
        <v>7.3049999999999997</v>
      </c>
      <c r="C204" s="11">
        <f t="shared" si="0"/>
        <v>4.1067761806981524</v>
      </c>
      <c r="D204" s="11">
        <f t="shared" si="1"/>
        <v>4.1067761806981524</v>
      </c>
      <c r="E204" s="10"/>
      <c r="F204" s="12" t="s">
        <v>89</v>
      </c>
      <c r="G204" s="11">
        <f t="shared" si="2"/>
        <v>0</v>
      </c>
      <c r="H204" s="11">
        <f t="shared" si="3"/>
        <v>1</v>
      </c>
      <c r="I204" s="13">
        <f t="shared" si="4"/>
        <v>30.000000000000004</v>
      </c>
    </row>
    <row r="205" spans="1:9" x14ac:dyDescent="0.2">
      <c r="A205" s="64" t="s">
        <v>610</v>
      </c>
      <c r="B205" s="9">
        <f>'Intermediate Results'!C199</f>
        <v>7.8319999999999999</v>
      </c>
      <c r="C205" s="11">
        <f t="shared" si="0"/>
        <v>3.8304392236976508</v>
      </c>
      <c r="D205" s="11">
        <f t="shared" si="1"/>
        <v>3.8304392236976508</v>
      </c>
      <c r="E205" s="10"/>
      <c r="F205" s="12" t="s">
        <v>90</v>
      </c>
      <c r="G205" s="11">
        <f t="shared" si="2"/>
        <v>0</v>
      </c>
      <c r="H205" s="11">
        <f t="shared" si="3"/>
        <v>1</v>
      </c>
      <c r="I205" s="13">
        <f t="shared" si="4"/>
        <v>30</v>
      </c>
    </row>
    <row r="206" spans="1:9" x14ac:dyDescent="0.2">
      <c r="A206" s="64" t="s">
        <v>611</v>
      </c>
      <c r="B206" s="9">
        <f>'Intermediate Results'!C200</f>
        <v>7.3890000000000002</v>
      </c>
      <c r="C206" s="11">
        <f t="shared" si="0"/>
        <v>4.0600893219650835</v>
      </c>
      <c r="D206" s="11">
        <f t="shared" si="1"/>
        <v>4.0600893219650835</v>
      </c>
      <c r="E206" s="10"/>
      <c r="F206" s="12" t="s">
        <v>91</v>
      </c>
      <c r="G206" s="11">
        <f t="shared" si="2"/>
        <v>0</v>
      </c>
      <c r="H206" s="11">
        <f t="shared" si="3"/>
        <v>1</v>
      </c>
      <c r="I206" s="13">
        <f t="shared" si="4"/>
        <v>30.000000000000004</v>
      </c>
    </row>
    <row r="207" spans="1:9" x14ac:dyDescent="0.2">
      <c r="A207" s="64" t="s">
        <v>612</v>
      </c>
      <c r="B207" s="9">
        <f>'Intermediate Results'!C201</f>
        <v>5.17</v>
      </c>
      <c r="C207" s="11">
        <f t="shared" si="0"/>
        <v>5.8027079303675047</v>
      </c>
      <c r="D207" s="11">
        <f t="shared" si="1"/>
        <v>5.8027079303675047</v>
      </c>
      <c r="E207" s="10"/>
      <c r="F207" s="12" t="s">
        <v>92</v>
      </c>
      <c r="G207" s="11">
        <f t="shared" si="2"/>
        <v>0</v>
      </c>
      <c r="H207" s="11">
        <f t="shared" si="3"/>
        <v>1</v>
      </c>
      <c r="I207" s="13">
        <f t="shared" si="4"/>
        <v>30</v>
      </c>
    </row>
    <row r="208" spans="1:9" x14ac:dyDescent="0.2">
      <c r="A208" s="64" t="s">
        <v>613</v>
      </c>
      <c r="B208" s="9">
        <f>'Intermediate Results'!C202</f>
        <v>5.1459999999999999</v>
      </c>
      <c r="C208" s="11">
        <f t="shared" si="0"/>
        <v>5.8297706956859701</v>
      </c>
      <c r="D208" s="11">
        <f t="shared" si="1"/>
        <v>5.8297706956859701</v>
      </c>
      <c r="E208" s="10"/>
      <c r="F208" s="12" t="s">
        <v>93</v>
      </c>
      <c r="G208" s="11">
        <f t="shared" si="2"/>
        <v>0</v>
      </c>
      <c r="H208" s="11">
        <f t="shared" si="3"/>
        <v>1</v>
      </c>
      <c r="I208" s="13">
        <f t="shared" si="4"/>
        <v>30</v>
      </c>
    </row>
    <row r="209" spans="1:9" x14ac:dyDescent="0.2">
      <c r="A209" s="64" t="s">
        <v>614</v>
      </c>
      <c r="B209" s="9">
        <f>'Intermediate Results'!C203</f>
        <v>4.0839999999999996</v>
      </c>
      <c r="C209" s="11">
        <f t="shared" si="0"/>
        <v>7.345739471106759</v>
      </c>
      <c r="D209" s="11">
        <f t="shared" si="1"/>
        <v>7.345739471106759</v>
      </c>
      <c r="E209" s="10"/>
      <c r="F209" s="12" t="s">
        <v>94</v>
      </c>
      <c r="G209" s="11">
        <f t="shared" si="2"/>
        <v>0</v>
      </c>
      <c r="H209" s="11">
        <f t="shared" si="3"/>
        <v>1</v>
      </c>
      <c r="I209" s="13">
        <f t="shared" si="4"/>
        <v>30</v>
      </c>
    </row>
    <row r="210" spans="1:9" x14ac:dyDescent="0.2">
      <c r="A210" s="64" t="s">
        <v>615</v>
      </c>
      <c r="B210" s="9">
        <f>'Intermediate Results'!C204</f>
        <v>7.71</v>
      </c>
      <c r="C210" s="11">
        <f t="shared" si="0"/>
        <v>3.8910505836575875</v>
      </c>
      <c r="D210" s="11">
        <f t="shared" si="1"/>
        <v>3.8910505836575875</v>
      </c>
      <c r="E210" s="10"/>
      <c r="F210" s="12" t="s">
        <v>383</v>
      </c>
      <c r="G210" s="11">
        <f t="shared" si="2"/>
        <v>0</v>
      </c>
      <c r="H210" s="11">
        <f t="shared" si="3"/>
        <v>1</v>
      </c>
      <c r="I210" s="13">
        <f t="shared" si="4"/>
        <v>30</v>
      </c>
    </row>
    <row r="211" spans="1:9" x14ac:dyDescent="0.2">
      <c r="A211" s="64" t="s">
        <v>616</v>
      </c>
      <c r="B211" s="9">
        <f>'Intermediate Results'!C205</f>
        <v>8.4130000000000003</v>
      </c>
      <c r="C211" s="11">
        <f t="shared" si="0"/>
        <v>3.5659099013431592</v>
      </c>
      <c r="D211" s="11">
        <f t="shared" si="1"/>
        <v>3.5659099013431592</v>
      </c>
      <c r="E211" s="10"/>
      <c r="F211" s="12" t="s">
        <v>384</v>
      </c>
      <c r="G211" s="11">
        <f t="shared" si="2"/>
        <v>0</v>
      </c>
      <c r="H211" s="11">
        <f t="shared" si="3"/>
        <v>1</v>
      </c>
      <c r="I211" s="13">
        <f t="shared" si="4"/>
        <v>30</v>
      </c>
    </row>
    <row r="212" spans="1:9" x14ac:dyDescent="0.2">
      <c r="A212" s="64" t="s">
        <v>617</v>
      </c>
      <c r="B212" s="9">
        <f>'Intermediate Results'!C206</f>
        <v>6.8609999999999998</v>
      </c>
      <c r="C212" s="11">
        <f t="shared" si="0"/>
        <v>4.3725404459991255</v>
      </c>
      <c r="D212" s="11">
        <f t="shared" si="1"/>
        <v>4.3725404459991255</v>
      </c>
      <c r="E212" s="10"/>
      <c r="F212" s="12" t="s">
        <v>385</v>
      </c>
      <c r="G212" s="11">
        <f t="shared" si="2"/>
        <v>0</v>
      </c>
      <c r="H212" s="11">
        <f t="shared" si="3"/>
        <v>1</v>
      </c>
      <c r="I212" s="13">
        <f t="shared" si="4"/>
        <v>30</v>
      </c>
    </row>
    <row r="213" spans="1:9" x14ac:dyDescent="0.2">
      <c r="A213" s="64" t="s">
        <v>618</v>
      </c>
      <c r="B213" s="9">
        <f>'Intermediate Results'!C207</f>
        <v>8.7360000000000007</v>
      </c>
      <c r="C213" s="11">
        <f t="shared" si="0"/>
        <v>3.4340659340659339</v>
      </c>
      <c r="D213" s="11">
        <f t="shared" si="1"/>
        <v>3.4340659340659339</v>
      </c>
      <c r="E213" s="10"/>
      <c r="F213" s="12" t="s">
        <v>386</v>
      </c>
      <c r="G213" s="11">
        <f t="shared" si="2"/>
        <v>0</v>
      </c>
      <c r="H213" s="11">
        <f t="shared" si="3"/>
        <v>1</v>
      </c>
      <c r="I213" s="13">
        <f t="shared" si="4"/>
        <v>30</v>
      </c>
    </row>
    <row r="214" spans="1:9" x14ac:dyDescent="0.2">
      <c r="A214" s="64" t="s">
        <v>619</v>
      </c>
      <c r="B214" s="9">
        <f>'Intermediate Results'!C208</f>
        <v>9.0860000000000003</v>
      </c>
      <c r="C214" s="11">
        <f t="shared" si="0"/>
        <v>3.301782962799912</v>
      </c>
      <c r="D214" s="11">
        <f t="shared" si="1"/>
        <v>3.301782962799912</v>
      </c>
      <c r="E214" s="10"/>
      <c r="F214" s="12" t="s">
        <v>387</v>
      </c>
      <c r="G214" s="11">
        <f t="shared" si="2"/>
        <v>0</v>
      </c>
      <c r="H214" s="11">
        <f t="shared" si="3"/>
        <v>1</v>
      </c>
      <c r="I214" s="13">
        <f t="shared" si="4"/>
        <v>30</v>
      </c>
    </row>
    <row r="215" spans="1:9" x14ac:dyDescent="0.2">
      <c r="A215" s="64" t="s">
        <v>620</v>
      </c>
      <c r="B215" s="9">
        <f>'Intermediate Results'!C209</f>
        <v>5.694</v>
      </c>
      <c r="C215" s="11">
        <f t="shared" si="0"/>
        <v>5.2687038988408847</v>
      </c>
      <c r="D215" s="11">
        <f t="shared" si="1"/>
        <v>5.2687038988408847</v>
      </c>
      <c r="E215" s="10"/>
      <c r="F215" s="12" t="s">
        <v>388</v>
      </c>
      <c r="G215" s="11">
        <f t="shared" si="2"/>
        <v>0</v>
      </c>
      <c r="H215" s="11">
        <f t="shared" si="3"/>
        <v>1</v>
      </c>
      <c r="I215" s="13">
        <f t="shared" si="4"/>
        <v>29.999999999999996</v>
      </c>
    </row>
    <row r="216" spans="1:9" x14ac:dyDescent="0.2">
      <c r="A216" s="64" t="s">
        <v>621</v>
      </c>
      <c r="B216" s="9">
        <f>'Intermediate Results'!C210</f>
        <v>2.4740000000000002</v>
      </c>
      <c r="C216" s="11">
        <f t="shared" si="0"/>
        <v>12.126111560226352</v>
      </c>
      <c r="D216" s="11">
        <f t="shared" si="1"/>
        <v>7.5</v>
      </c>
      <c r="E216" s="10"/>
      <c r="F216" s="12" t="s">
        <v>389</v>
      </c>
      <c r="G216" s="11">
        <f t="shared" si="2"/>
        <v>4.6261115602263523</v>
      </c>
      <c r="H216" s="11">
        <f t="shared" si="3"/>
        <v>1.6168148746968469</v>
      </c>
      <c r="I216" s="13">
        <f t="shared" si="4"/>
        <v>18.555</v>
      </c>
    </row>
    <row r="217" spans="1:9" x14ac:dyDescent="0.2">
      <c r="A217" s="64" t="s">
        <v>622</v>
      </c>
      <c r="B217" s="9">
        <f>'Intermediate Results'!C211</f>
        <v>8.0329999999999995</v>
      </c>
      <c r="C217" s="11">
        <f t="shared" si="0"/>
        <v>3.734594796464584</v>
      </c>
      <c r="D217" s="11">
        <f t="shared" si="1"/>
        <v>3.734594796464584</v>
      </c>
      <c r="E217" s="10"/>
      <c r="F217" s="12" t="s">
        <v>390</v>
      </c>
      <c r="G217" s="11">
        <f t="shared" si="2"/>
        <v>0</v>
      </c>
      <c r="H217" s="11">
        <f t="shared" si="3"/>
        <v>1</v>
      </c>
      <c r="I217" s="13">
        <f t="shared" si="4"/>
        <v>30</v>
      </c>
    </row>
    <row r="218" spans="1:9" x14ac:dyDescent="0.2">
      <c r="A218" s="64" t="s">
        <v>623</v>
      </c>
      <c r="B218" s="9">
        <f>'Intermediate Results'!C212</f>
        <v>7.83</v>
      </c>
      <c r="C218" s="11">
        <f t="shared" si="0"/>
        <v>3.8314176245210727</v>
      </c>
      <c r="D218" s="11">
        <f t="shared" si="1"/>
        <v>3.8314176245210727</v>
      </c>
      <c r="E218" s="10"/>
      <c r="F218" s="12" t="s">
        <v>391</v>
      </c>
      <c r="G218" s="11">
        <f t="shared" si="2"/>
        <v>0</v>
      </c>
      <c r="H218" s="11">
        <f t="shared" si="3"/>
        <v>1</v>
      </c>
      <c r="I218" s="13">
        <f t="shared" si="4"/>
        <v>30</v>
      </c>
    </row>
    <row r="219" spans="1:9" x14ac:dyDescent="0.2">
      <c r="A219" s="64" t="s">
        <v>624</v>
      </c>
      <c r="B219" s="9">
        <f>'Intermediate Results'!C213</f>
        <v>7.6189999999999998</v>
      </c>
      <c r="C219" s="11">
        <f t="shared" si="0"/>
        <v>3.9375246095288099</v>
      </c>
      <c r="D219" s="11">
        <f t="shared" si="1"/>
        <v>3.9375246095288099</v>
      </c>
      <c r="E219" s="10"/>
      <c r="F219" s="12" t="s">
        <v>392</v>
      </c>
      <c r="G219" s="11">
        <f t="shared" si="2"/>
        <v>0</v>
      </c>
      <c r="H219" s="11">
        <f t="shared" si="3"/>
        <v>1</v>
      </c>
      <c r="I219" s="13">
        <f t="shared" si="4"/>
        <v>30</v>
      </c>
    </row>
    <row r="220" spans="1:9" x14ac:dyDescent="0.2">
      <c r="A220" s="64" t="s">
        <v>625</v>
      </c>
      <c r="B220" s="9">
        <f>'Intermediate Results'!C214</f>
        <v>8.15</v>
      </c>
      <c r="C220" s="11">
        <f t="shared" si="0"/>
        <v>3.6809815950920242</v>
      </c>
      <c r="D220" s="11">
        <f t="shared" si="1"/>
        <v>3.6809815950920242</v>
      </c>
      <c r="E220" s="10"/>
      <c r="F220" s="12" t="s">
        <v>393</v>
      </c>
      <c r="G220" s="11">
        <f t="shared" si="2"/>
        <v>0</v>
      </c>
      <c r="H220" s="11">
        <f t="shared" si="3"/>
        <v>1</v>
      </c>
      <c r="I220" s="13">
        <f t="shared" si="4"/>
        <v>29.999999999999996</v>
      </c>
    </row>
    <row r="221" spans="1:9" x14ac:dyDescent="0.2">
      <c r="A221" s="64" t="s">
        <v>626</v>
      </c>
      <c r="B221" s="9">
        <f>'Intermediate Results'!C215</f>
        <v>7.9029999999999996</v>
      </c>
      <c r="C221" s="11">
        <f t="shared" si="0"/>
        <v>3.7960268252562321</v>
      </c>
      <c r="D221" s="11">
        <f t="shared" si="1"/>
        <v>3.7960268252562321</v>
      </c>
      <c r="E221" s="10"/>
      <c r="F221" s="12" t="s">
        <v>394</v>
      </c>
      <c r="G221" s="11">
        <f t="shared" si="2"/>
        <v>0</v>
      </c>
      <c r="H221" s="11">
        <f t="shared" si="3"/>
        <v>1</v>
      </c>
      <c r="I221" s="13">
        <f t="shared" si="4"/>
        <v>30</v>
      </c>
    </row>
    <row r="222" spans="1:9" x14ac:dyDescent="0.2">
      <c r="A222" s="64" t="s">
        <v>627</v>
      </c>
      <c r="B222" s="9">
        <f>'Intermediate Results'!C216</f>
        <v>7.9880000000000004</v>
      </c>
      <c r="C222" s="11">
        <f t="shared" si="0"/>
        <v>3.7556334501752628</v>
      </c>
      <c r="D222" s="11">
        <f t="shared" si="1"/>
        <v>3.7556334501752628</v>
      </c>
      <c r="E222" s="10"/>
      <c r="F222" s="12" t="s">
        <v>395</v>
      </c>
      <c r="G222" s="11">
        <f t="shared" si="2"/>
        <v>0</v>
      </c>
      <c r="H222" s="11">
        <f t="shared" si="3"/>
        <v>1</v>
      </c>
      <c r="I222" s="13">
        <f t="shared" si="4"/>
        <v>30</v>
      </c>
    </row>
    <row r="223" spans="1:9" x14ac:dyDescent="0.2">
      <c r="A223" s="64" t="s">
        <v>628</v>
      </c>
      <c r="B223" s="9">
        <f>'Intermediate Results'!C217</f>
        <v>8.0760000000000005</v>
      </c>
      <c r="C223" s="11">
        <f t="shared" si="0"/>
        <v>3.7147102526002969</v>
      </c>
      <c r="D223" s="11">
        <f t="shared" si="1"/>
        <v>3.7147102526002969</v>
      </c>
      <c r="E223" s="10"/>
      <c r="F223" s="12" t="s">
        <v>396</v>
      </c>
      <c r="G223" s="11">
        <f t="shared" si="2"/>
        <v>0</v>
      </c>
      <c r="H223" s="11">
        <f t="shared" si="3"/>
        <v>1</v>
      </c>
      <c r="I223" s="13">
        <f t="shared" si="4"/>
        <v>30</v>
      </c>
    </row>
    <row r="224" spans="1:9" x14ac:dyDescent="0.2">
      <c r="A224" s="64" t="s">
        <v>629</v>
      </c>
      <c r="B224" s="9">
        <f>'Intermediate Results'!C218</f>
        <v>8.3510000000000009</v>
      </c>
      <c r="C224" s="11">
        <f t="shared" si="0"/>
        <v>3.5923841456113035</v>
      </c>
      <c r="D224" s="11">
        <f t="shared" si="1"/>
        <v>3.5923841456113035</v>
      </c>
      <c r="E224" s="10"/>
      <c r="F224" s="12" t="s">
        <v>397</v>
      </c>
      <c r="G224" s="11">
        <f t="shared" si="2"/>
        <v>0</v>
      </c>
      <c r="H224" s="11">
        <f t="shared" si="3"/>
        <v>1</v>
      </c>
      <c r="I224" s="13">
        <f t="shared" si="4"/>
        <v>30</v>
      </c>
    </row>
    <row r="225" spans="1:9" x14ac:dyDescent="0.2">
      <c r="A225" s="64" t="s">
        <v>630</v>
      </c>
      <c r="B225" s="9">
        <f>'Intermediate Results'!C219</f>
        <v>7.8170000000000002</v>
      </c>
      <c r="C225" s="11">
        <f t="shared" si="0"/>
        <v>3.8377894332864271</v>
      </c>
      <c r="D225" s="11">
        <f t="shared" si="1"/>
        <v>3.8377894332864271</v>
      </c>
      <c r="E225" s="10"/>
      <c r="F225" s="12" t="s">
        <v>398</v>
      </c>
      <c r="G225" s="11">
        <f t="shared" si="2"/>
        <v>0</v>
      </c>
      <c r="H225" s="11">
        <f t="shared" si="3"/>
        <v>1</v>
      </c>
      <c r="I225" s="13">
        <f t="shared" si="4"/>
        <v>30</v>
      </c>
    </row>
    <row r="226" spans="1:9" x14ac:dyDescent="0.2">
      <c r="A226" s="64" t="s">
        <v>631</v>
      </c>
      <c r="B226" s="9">
        <f>'Intermediate Results'!C220</f>
        <v>6.22</v>
      </c>
      <c r="C226" s="11">
        <f t="shared" si="0"/>
        <v>4.823151125401929</v>
      </c>
      <c r="D226" s="11">
        <f t="shared" si="1"/>
        <v>4.823151125401929</v>
      </c>
      <c r="E226" s="10"/>
      <c r="F226" s="12" t="s">
        <v>399</v>
      </c>
      <c r="G226" s="11">
        <f t="shared" si="2"/>
        <v>0</v>
      </c>
      <c r="H226" s="11">
        <f t="shared" si="3"/>
        <v>1</v>
      </c>
      <c r="I226" s="13">
        <f t="shared" si="4"/>
        <v>29.999999999999996</v>
      </c>
    </row>
    <row r="227" spans="1:9" x14ac:dyDescent="0.2">
      <c r="A227" s="64" t="s">
        <v>632</v>
      </c>
      <c r="B227" s="9">
        <f>'Intermediate Results'!C221</f>
        <v>6.7480000000000002</v>
      </c>
      <c r="C227" s="11">
        <f t="shared" si="0"/>
        <v>4.4457617071724957</v>
      </c>
      <c r="D227" s="11">
        <f t="shared" si="1"/>
        <v>4.4457617071724957</v>
      </c>
      <c r="E227" s="10"/>
      <c r="F227" s="12" t="s">
        <v>400</v>
      </c>
      <c r="G227" s="11">
        <f t="shared" si="2"/>
        <v>0</v>
      </c>
      <c r="H227" s="11">
        <f t="shared" si="3"/>
        <v>1</v>
      </c>
      <c r="I227" s="13">
        <f t="shared" si="4"/>
        <v>30.000000000000004</v>
      </c>
    </row>
    <row r="228" spans="1:9" x14ac:dyDescent="0.2">
      <c r="A228" s="64" t="s">
        <v>633</v>
      </c>
      <c r="B228" s="9">
        <f>'Intermediate Results'!C222</f>
        <v>6.6219999999999999</v>
      </c>
      <c r="C228" s="11">
        <f t="shared" si="0"/>
        <v>4.5303533675626699</v>
      </c>
      <c r="D228" s="11">
        <f t="shared" si="1"/>
        <v>4.5303533675626699</v>
      </c>
      <c r="E228" s="10"/>
      <c r="F228" s="12" t="s">
        <v>401</v>
      </c>
      <c r="G228" s="11">
        <f t="shared" si="2"/>
        <v>0</v>
      </c>
      <c r="H228" s="11">
        <f t="shared" si="3"/>
        <v>1</v>
      </c>
      <c r="I228" s="13">
        <f t="shared" si="4"/>
        <v>30</v>
      </c>
    </row>
    <row r="229" spans="1:9" x14ac:dyDescent="0.2">
      <c r="A229" s="64" t="s">
        <v>634</v>
      </c>
      <c r="B229" s="9">
        <f>'Intermediate Results'!C223</f>
        <v>6.7270000000000003</v>
      </c>
      <c r="C229" s="11">
        <f t="shared" si="0"/>
        <v>4.4596402556860415</v>
      </c>
      <c r="D229" s="11">
        <f t="shared" si="1"/>
        <v>4.4596402556860415</v>
      </c>
      <c r="E229" s="10"/>
      <c r="F229" s="12" t="s">
        <v>402</v>
      </c>
      <c r="G229" s="11">
        <f t="shared" si="2"/>
        <v>0</v>
      </c>
      <c r="H229" s="11">
        <f t="shared" si="3"/>
        <v>1</v>
      </c>
      <c r="I229" s="13">
        <f t="shared" si="4"/>
        <v>30.000000000000004</v>
      </c>
    </row>
    <row r="230" spans="1:9" x14ac:dyDescent="0.2">
      <c r="A230" s="64" t="s">
        <v>635</v>
      </c>
      <c r="B230" s="9">
        <f>'Intermediate Results'!C224</f>
        <v>6.5119999999999996</v>
      </c>
      <c r="C230" s="11">
        <f t="shared" si="0"/>
        <v>4.6068796068796072</v>
      </c>
      <c r="D230" s="11">
        <f t="shared" si="1"/>
        <v>4.6068796068796072</v>
      </c>
      <c r="E230" s="10"/>
      <c r="F230" s="12" t="s">
        <v>403</v>
      </c>
      <c r="G230" s="11">
        <f t="shared" si="2"/>
        <v>0</v>
      </c>
      <c r="H230" s="11">
        <f t="shared" si="3"/>
        <v>1</v>
      </c>
      <c r="I230" s="13">
        <f t="shared" si="4"/>
        <v>30</v>
      </c>
    </row>
    <row r="231" spans="1:9" x14ac:dyDescent="0.2">
      <c r="A231" s="64" t="s">
        <v>636</v>
      </c>
      <c r="B231" s="9">
        <f>'Intermediate Results'!C225</f>
        <v>7.0990000000000002</v>
      </c>
      <c r="C231" s="11">
        <f t="shared" si="0"/>
        <v>4.2259473165234542</v>
      </c>
      <c r="D231" s="11">
        <f t="shared" si="1"/>
        <v>4.2259473165234542</v>
      </c>
      <c r="E231" s="10"/>
      <c r="F231" s="12" t="s">
        <v>404</v>
      </c>
      <c r="G231" s="11">
        <f t="shared" si="2"/>
        <v>0</v>
      </c>
      <c r="H231" s="11">
        <f t="shared" si="3"/>
        <v>1</v>
      </c>
      <c r="I231" s="13">
        <f t="shared" si="4"/>
        <v>30.000000000000004</v>
      </c>
    </row>
    <row r="232" spans="1:9" x14ac:dyDescent="0.2">
      <c r="A232" s="64" t="s">
        <v>637</v>
      </c>
      <c r="B232" s="9">
        <f>'Intermediate Results'!C226</f>
        <v>6.9089999999999998</v>
      </c>
      <c r="C232" s="11">
        <f t="shared" si="0"/>
        <v>4.3421623968736434</v>
      </c>
      <c r="D232" s="11">
        <f t="shared" si="1"/>
        <v>4.3421623968736434</v>
      </c>
      <c r="E232" s="10"/>
      <c r="F232" s="12" t="s">
        <v>405</v>
      </c>
      <c r="G232" s="11">
        <f t="shared" si="2"/>
        <v>0</v>
      </c>
      <c r="H232" s="11">
        <f t="shared" si="3"/>
        <v>1</v>
      </c>
      <c r="I232" s="13">
        <f t="shared" si="4"/>
        <v>30</v>
      </c>
    </row>
    <row r="233" spans="1:9" x14ac:dyDescent="0.2">
      <c r="A233" s="64" t="s">
        <v>638</v>
      </c>
      <c r="B233" s="9">
        <f>'Intermediate Results'!C227</f>
        <v>7.9059999999999997</v>
      </c>
      <c r="C233" s="11">
        <f t="shared" si="0"/>
        <v>3.7945863900834809</v>
      </c>
      <c r="D233" s="11">
        <f t="shared" si="1"/>
        <v>3.7945863900834809</v>
      </c>
      <c r="E233" s="10"/>
      <c r="F233" s="12" t="s">
        <v>406</v>
      </c>
      <c r="G233" s="11">
        <f t="shared" si="2"/>
        <v>0</v>
      </c>
      <c r="H233" s="11">
        <f t="shared" si="3"/>
        <v>1</v>
      </c>
      <c r="I233" s="13">
        <f t="shared" si="4"/>
        <v>30</v>
      </c>
    </row>
    <row r="234" spans="1:9" x14ac:dyDescent="0.2">
      <c r="A234" s="64" t="s">
        <v>639</v>
      </c>
      <c r="B234" s="9">
        <f>'Intermediate Results'!C228</f>
        <v>6.1260000000000003</v>
      </c>
      <c r="C234" s="11">
        <f t="shared" si="0"/>
        <v>4.8971596474045054</v>
      </c>
      <c r="D234" s="11">
        <f t="shared" si="1"/>
        <v>4.8971596474045054</v>
      </c>
      <c r="E234" s="10"/>
      <c r="F234" s="12" t="s">
        <v>95</v>
      </c>
      <c r="G234" s="11">
        <f t="shared" si="2"/>
        <v>0</v>
      </c>
      <c r="H234" s="11">
        <f t="shared" si="3"/>
        <v>1</v>
      </c>
      <c r="I234" s="13">
        <f t="shared" si="4"/>
        <v>30</v>
      </c>
    </row>
    <row r="235" spans="1:9" x14ac:dyDescent="0.2">
      <c r="A235" s="64" t="s">
        <v>640</v>
      </c>
      <c r="B235" s="9">
        <f>'Intermediate Results'!C229</f>
        <v>5.3140000000000001</v>
      </c>
      <c r="C235" s="11">
        <f t="shared" si="0"/>
        <v>5.6454648099360183</v>
      </c>
      <c r="D235" s="11">
        <f t="shared" si="1"/>
        <v>5.6454648099360183</v>
      </c>
      <c r="E235" s="10"/>
      <c r="F235" s="12" t="s">
        <v>96</v>
      </c>
      <c r="G235" s="11">
        <f t="shared" si="2"/>
        <v>0</v>
      </c>
      <c r="H235" s="11">
        <f t="shared" si="3"/>
        <v>1</v>
      </c>
      <c r="I235" s="13">
        <f t="shared" si="4"/>
        <v>30</v>
      </c>
    </row>
    <row r="236" spans="1:9" x14ac:dyDescent="0.2">
      <c r="A236" s="64" t="s">
        <v>641</v>
      </c>
      <c r="B236" s="9">
        <f>'Intermediate Results'!C230</f>
        <v>5.9249999999999998</v>
      </c>
      <c r="C236" s="11">
        <f t="shared" si="0"/>
        <v>5.0632911392405067</v>
      </c>
      <c r="D236" s="11">
        <f t="shared" si="1"/>
        <v>5.0632911392405067</v>
      </c>
      <c r="E236" s="10"/>
      <c r="F236" s="12" t="s">
        <v>97</v>
      </c>
      <c r="G236" s="11">
        <f t="shared" si="2"/>
        <v>0</v>
      </c>
      <c r="H236" s="11">
        <f t="shared" si="3"/>
        <v>1</v>
      </c>
      <c r="I236" s="13">
        <f t="shared" si="4"/>
        <v>30</v>
      </c>
    </row>
    <row r="237" spans="1:9" x14ac:dyDescent="0.2">
      <c r="A237" s="64" t="s">
        <v>642</v>
      </c>
      <c r="B237" s="9">
        <f>'Intermediate Results'!C231</f>
        <v>5.6139999999999999</v>
      </c>
      <c r="C237" s="11">
        <f t="shared" si="0"/>
        <v>5.3437833986462415</v>
      </c>
      <c r="D237" s="11">
        <f t="shared" si="1"/>
        <v>5.3437833986462415</v>
      </c>
      <c r="E237" s="10"/>
      <c r="F237" s="12" t="s">
        <v>98</v>
      </c>
      <c r="G237" s="11">
        <f t="shared" si="2"/>
        <v>0</v>
      </c>
      <c r="H237" s="11">
        <f t="shared" si="3"/>
        <v>1</v>
      </c>
      <c r="I237" s="13">
        <f t="shared" si="4"/>
        <v>30</v>
      </c>
    </row>
    <row r="238" spans="1:9" x14ac:dyDescent="0.2">
      <c r="A238" s="64" t="s">
        <v>643</v>
      </c>
      <c r="B238" s="9">
        <f>'Intermediate Results'!C232</f>
        <v>6.242</v>
      </c>
      <c r="C238" s="11">
        <f t="shared" si="0"/>
        <v>4.8061518743992311</v>
      </c>
      <c r="D238" s="11">
        <f t="shared" si="1"/>
        <v>4.8061518743992311</v>
      </c>
      <c r="E238" s="10"/>
      <c r="F238" s="12" t="s">
        <v>99</v>
      </c>
      <c r="G238" s="11">
        <f t="shared" si="2"/>
        <v>0</v>
      </c>
      <c r="H238" s="11">
        <f t="shared" si="3"/>
        <v>1</v>
      </c>
      <c r="I238" s="13">
        <f t="shared" si="4"/>
        <v>30</v>
      </c>
    </row>
    <row r="239" spans="1:9" x14ac:dyDescent="0.2">
      <c r="A239" s="64" t="s">
        <v>644</v>
      </c>
      <c r="B239" s="9">
        <f>'Intermediate Results'!C233</f>
        <v>5.9960000000000004</v>
      </c>
      <c r="C239" s="11">
        <f t="shared" si="0"/>
        <v>5.0033355570380253</v>
      </c>
      <c r="D239" s="11">
        <f t="shared" si="1"/>
        <v>5.0033355570380253</v>
      </c>
      <c r="E239" s="10"/>
      <c r="F239" s="12" t="s">
        <v>100</v>
      </c>
      <c r="G239" s="11">
        <f t="shared" si="2"/>
        <v>0</v>
      </c>
      <c r="H239" s="11">
        <f t="shared" si="3"/>
        <v>1</v>
      </c>
      <c r="I239" s="13">
        <f t="shared" si="4"/>
        <v>30.000000000000004</v>
      </c>
    </row>
    <row r="240" spans="1:9" x14ac:dyDescent="0.2">
      <c r="A240" s="64" t="s">
        <v>645</v>
      </c>
      <c r="B240" s="9">
        <f>'Intermediate Results'!C234</f>
        <v>6.2489999999999997</v>
      </c>
      <c r="C240" s="11">
        <f t="shared" si="0"/>
        <v>4.8007681228996644</v>
      </c>
      <c r="D240" s="11">
        <f t="shared" si="1"/>
        <v>4.8007681228996644</v>
      </c>
      <c r="E240" s="10"/>
      <c r="F240" s="12" t="s">
        <v>101</v>
      </c>
      <c r="G240" s="11">
        <f t="shared" si="2"/>
        <v>0</v>
      </c>
      <c r="H240" s="11">
        <f t="shared" si="3"/>
        <v>1</v>
      </c>
      <c r="I240" s="13">
        <f t="shared" si="4"/>
        <v>30</v>
      </c>
    </row>
    <row r="241" spans="1:9" x14ac:dyDescent="0.2">
      <c r="A241" s="64" t="s">
        <v>646</v>
      </c>
      <c r="B241" s="9">
        <f>'Intermediate Results'!C235</f>
        <v>7.92</v>
      </c>
      <c r="C241" s="11">
        <f t="shared" si="0"/>
        <v>3.7878787878787881</v>
      </c>
      <c r="D241" s="11">
        <f t="shared" si="1"/>
        <v>3.7878787878787881</v>
      </c>
      <c r="E241" s="10"/>
      <c r="F241" s="12" t="s">
        <v>102</v>
      </c>
      <c r="G241" s="11">
        <f t="shared" si="2"/>
        <v>0</v>
      </c>
      <c r="H241" s="11">
        <f t="shared" si="3"/>
        <v>1</v>
      </c>
      <c r="I241" s="13">
        <f t="shared" si="4"/>
        <v>30</v>
      </c>
    </row>
    <row r="242" spans="1:9" x14ac:dyDescent="0.2">
      <c r="A242" s="64" t="s">
        <v>647</v>
      </c>
      <c r="B242" s="9">
        <f>'Intermediate Results'!C236</f>
        <v>5.9390000000000001</v>
      </c>
      <c r="C242" s="11">
        <f t="shared" si="0"/>
        <v>5.0513554470449566</v>
      </c>
      <c r="D242" s="11">
        <f t="shared" si="1"/>
        <v>5.0513554470449566</v>
      </c>
      <c r="E242" s="10"/>
      <c r="F242" s="12" t="s">
        <v>407</v>
      </c>
      <c r="G242" s="11">
        <f t="shared" si="2"/>
        <v>0</v>
      </c>
      <c r="H242" s="11">
        <f t="shared" si="3"/>
        <v>1</v>
      </c>
      <c r="I242" s="13">
        <f t="shared" si="4"/>
        <v>29.999999999999996</v>
      </c>
    </row>
    <row r="243" spans="1:9" x14ac:dyDescent="0.2">
      <c r="A243" s="64" t="s">
        <v>648</v>
      </c>
      <c r="B243" s="9">
        <f>'Intermediate Results'!C237</f>
        <v>6.1050000000000004</v>
      </c>
      <c r="C243" s="11">
        <f t="shared" si="0"/>
        <v>4.9140049140049138</v>
      </c>
      <c r="D243" s="11">
        <f t="shared" si="1"/>
        <v>4.9140049140049138</v>
      </c>
      <c r="E243" s="10"/>
      <c r="F243" s="12" t="s">
        <v>408</v>
      </c>
      <c r="G243" s="11">
        <f t="shared" si="2"/>
        <v>0</v>
      </c>
      <c r="H243" s="11">
        <f t="shared" si="3"/>
        <v>1</v>
      </c>
      <c r="I243" s="13">
        <f t="shared" si="4"/>
        <v>30</v>
      </c>
    </row>
    <row r="244" spans="1:9" x14ac:dyDescent="0.2">
      <c r="A244" s="64" t="s">
        <v>649</v>
      </c>
      <c r="B244" s="9">
        <f>'Intermediate Results'!C238</f>
        <v>6.351</v>
      </c>
      <c r="C244" s="11">
        <f t="shared" si="0"/>
        <v>4.7236655644780345</v>
      </c>
      <c r="D244" s="11">
        <f t="shared" si="1"/>
        <v>4.7236655644780345</v>
      </c>
      <c r="E244" s="10"/>
      <c r="F244" s="12" t="s">
        <v>409</v>
      </c>
      <c r="G244" s="11">
        <f t="shared" si="2"/>
        <v>0</v>
      </c>
      <c r="H244" s="11">
        <f t="shared" si="3"/>
        <v>1</v>
      </c>
      <c r="I244" s="13">
        <f t="shared" si="4"/>
        <v>29.999999999999996</v>
      </c>
    </row>
    <row r="245" spans="1:9" x14ac:dyDescent="0.2">
      <c r="A245" s="64" t="s">
        <v>650</v>
      </c>
      <c r="B245" s="9">
        <f>'Intermediate Results'!C239</f>
        <v>6.3129999999999997</v>
      </c>
      <c r="C245" s="11">
        <f t="shared" si="0"/>
        <v>4.7520988436559479</v>
      </c>
      <c r="D245" s="11">
        <f t="shared" si="1"/>
        <v>4.7520988436559479</v>
      </c>
      <c r="E245" s="10"/>
      <c r="F245" s="12" t="s">
        <v>410</v>
      </c>
      <c r="G245" s="11">
        <f t="shared" si="2"/>
        <v>0</v>
      </c>
      <c r="H245" s="11">
        <f t="shared" si="3"/>
        <v>1</v>
      </c>
      <c r="I245" s="13">
        <f t="shared" si="4"/>
        <v>29.999999999999996</v>
      </c>
    </row>
    <row r="246" spans="1:9" x14ac:dyDescent="0.2">
      <c r="A246" s="64" t="s">
        <v>651</v>
      </c>
      <c r="B246" s="9">
        <f>'Intermediate Results'!C240</f>
        <v>6.5609999999999999</v>
      </c>
      <c r="C246" s="11">
        <f t="shared" si="0"/>
        <v>4.5724737082761777</v>
      </c>
      <c r="D246" s="11">
        <f t="shared" si="1"/>
        <v>4.5724737082761777</v>
      </c>
      <c r="E246" s="10"/>
      <c r="F246" s="12" t="s">
        <v>411</v>
      </c>
      <c r="G246" s="11">
        <f t="shared" si="2"/>
        <v>0</v>
      </c>
      <c r="H246" s="11">
        <f t="shared" si="3"/>
        <v>1</v>
      </c>
      <c r="I246" s="13">
        <f t="shared" si="4"/>
        <v>30</v>
      </c>
    </row>
    <row r="247" spans="1:9" x14ac:dyDescent="0.2">
      <c r="A247" s="64" t="s">
        <v>652</v>
      </c>
      <c r="B247" s="9">
        <f>'Intermediate Results'!C241</f>
        <v>5.5880000000000001</v>
      </c>
      <c r="C247" s="11">
        <f t="shared" si="0"/>
        <v>5.3686471009305654</v>
      </c>
      <c r="D247" s="11">
        <f t="shared" si="1"/>
        <v>5.3686471009305654</v>
      </c>
      <c r="E247" s="10"/>
      <c r="F247" s="12" t="s">
        <v>412</v>
      </c>
      <c r="G247" s="11">
        <f t="shared" si="2"/>
        <v>0</v>
      </c>
      <c r="H247" s="11">
        <f t="shared" si="3"/>
        <v>1</v>
      </c>
      <c r="I247" s="13">
        <f t="shared" si="4"/>
        <v>30</v>
      </c>
    </row>
    <row r="248" spans="1:9" x14ac:dyDescent="0.2">
      <c r="A248" s="64" t="s">
        <v>653</v>
      </c>
      <c r="B248" s="9">
        <f>'Intermediate Results'!C242</f>
        <v>5.5910000000000002</v>
      </c>
      <c r="C248" s="11">
        <f t="shared" si="0"/>
        <v>5.3657664103022711</v>
      </c>
      <c r="D248" s="11">
        <f t="shared" si="1"/>
        <v>5.3657664103022711</v>
      </c>
      <c r="E248" s="10"/>
      <c r="F248" s="12" t="s">
        <v>413</v>
      </c>
      <c r="G248" s="11">
        <f t="shared" si="2"/>
        <v>0</v>
      </c>
      <c r="H248" s="11">
        <f t="shared" si="3"/>
        <v>1</v>
      </c>
      <c r="I248" s="13">
        <f t="shared" si="4"/>
        <v>30</v>
      </c>
    </row>
    <row r="249" spans="1:9" x14ac:dyDescent="0.2">
      <c r="A249" s="64" t="s">
        <v>654</v>
      </c>
      <c r="B249" s="9">
        <f>'Intermediate Results'!C243</f>
        <v>8.0609999999999999</v>
      </c>
      <c r="C249" s="11">
        <f t="shared" si="0"/>
        <v>3.721622627465575</v>
      </c>
      <c r="D249" s="11">
        <f t="shared" si="1"/>
        <v>3.721622627465575</v>
      </c>
      <c r="E249" s="10"/>
      <c r="F249" s="12" t="s">
        <v>414</v>
      </c>
      <c r="G249" s="11">
        <f t="shared" si="2"/>
        <v>0</v>
      </c>
      <c r="H249" s="11">
        <f t="shared" si="3"/>
        <v>1</v>
      </c>
      <c r="I249" s="13">
        <f t="shared" si="4"/>
        <v>30</v>
      </c>
    </row>
  </sheetData>
  <phoneticPr fontId="5" type="noConversion"/>
  <conditionalFormatting sqref="H10:H249">
    <cfRule type="cellIs" dxfId="15" priority="42" operator="between">
      <formula>2</formula>
      <formula>4</formula>
    </cfRule>
    <cfRule type="cellIs" dxfId="14" priority="43" operator="lessThan">
      <formula>2</formula>
    </cfRule>
    <cfRule type="cellIs" dxfId="13" priority="44" operator="greaterThan">
      <formula>4</formula>
    </cfRule>
    <cfRule type="colorScale" priority="45">
      <colorScale>
        <cfvo type="formula" val="&quot;&lt;2&quot;"/>
        <cfvo type="formula" val="41674"/>
        <cfvo type="num" val="&quot;&gt;4&quot;"/>
        <color rgb="FF008000"/>
        <color rgb="FFFFEB84"/>
        <color rgb="FFFF0000"/>
      </colorScale>
    </cfRule>
    <cfRule type="colorScale" priority="46">
      <colorScale>
        <cfvo type="min"/>
        <cfvo type="percentile" val="50"/>
        <cfvo type="max"/>
        <color rgb="FF63BE7B"/>
        <color rgb="FFFFEB84"/>
        <color rgb="FFF8696B"/>
      </colorScale>
    </cfRule>
  </conditionalFormatting>
  <pageMargins left="0.25" right="0.25" top="0.4" bottom="0.76" header="0.3" footer="0.3"/>
  <pageSetup orientation="portrait" horizontalDpi="1200" verticalDpi="1200" r:id="rId1"/>
  <headerFooter>
    <oddFooter>&amp;LFILEPATH:_x000D_Sheet:&amp;R&amp;Z&amp;F_x000D_&amp;A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hidecomments">
                <anchor moveWithCells="1" sizeWithCells="1">
                  <from>
                    <xdr:col>0</xdr:col>
                    <xdr:colOff>25400</xdr:colOff>
                    <xdr:row>1</xdr:row>
                    <xdr:rowOff>25400</xdr:rowOff>
                  </from>
                  <to>
                    <xdr:col>1</xdr:col>
                    <xdr:colOff>25400</xdr:colOff>
                    <xdr:row>3</xdr:row>
                    <xdr:rowOff>101600</xdr:rowOff>
                  </to>
                </anchor>
              </controlPr>
            </control>
          </mc:Choice>
          <mc:Fallback/>
        </mc:AlternateContent>
        <mc:AlternateContent xmlns:mc="http://schemas.openxmlformats.org/markup-compatibility/2006">
          <mc:Choice Requires="x14">
            <control shapeId="7175" r:id="rId5" name="Button 7">
              <controlPr defaultSize="0" print="0" autoFill="0" autoPict="0" macro="[0]!insert1row">
                <anchor moveWithCells="1" sizeWithCells="1">
                  <from>
                    <xdr:col>2</xdr:col>
                    <xdr:colOff>673100</xdr:colOff>
                    <xdr:row>1</xdr:row>
                    <xdr:rowOff>25400</xdr:rowOff>
                  </from>
                  <to>
                    <xdr:col>4</xdr:col>
                    <xdr:colOff>596900</xdr:colOff>
                    <xdr:row>3</xdr:row>
                    <xdr:rowOff>101600</xdr:rowOff>
                  </to>
                </anchor>
              </controlPr>
            </control>
          </mc:Choice>
          <mc:Fallback/>
        </mc:AlternateContent>
        <mc:AlternateContent xmlns:mc="http://schemas.openxmlformats.org/markup-compatibility/2006">
          <mc:Choice Requires="x14">
            <control shapeId="7176" r:id="rId6" name="Button 8">
              <controlPr defaultSize="0" print="0" autoFill="0" autoPict="0" macro="[0]!hideall">
                <anchor moveWithCells="1" sizeWithCells="1">
                  <from>
                    <xdr:col>1</xdr:col>
                    <xdr:colOff>101600</xdr:colOff>
                    <xdr:row>1</xdr:row>
                    <xdr:rowOff>25400</xdr:rowOff>
                  </from>
                  <to>
                    <xdr:col>2</xdr:col>
                    <xdr:colOff>558800</xdr:colOff>
                    <xdr:row>3</xdr:row>
                    <xdr:rowOff>101600</xdr:rowOff>
                  </to>
                </anchor>
              </controlPr>
            </control>
          </mc:Choice>
          <mc:Fallback/>
        </mc:AlternateContent>
      </controls>
    </mc:Choice>
    <mc:Fallback/>
  </mc:AlternateContent>
  <tableParts count="1">
    <tablePart r:id="rId7"/>
  </tableParts>
  <extLst>
    <ext xmlns:mx="http://schemas.microsoft.com/office/mac/excel/2008/main" uri="{64002731-A6B0-56B0-2670-7721B7C09600}">
      <mx:PLV Mode="1" OnePage="0" WScale="10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7"/>
  </sheetPr>
  <dimension ref="A1:G9"/>
  <sheetViews>
    <sheetView showGridLines="0" view="pageLayout" workbookViewId="0">
      <selection activeCell="C10" sqref="C10"/>
    </sheetView>
  </sheetViews>
  <sheetFormatPr baseColWidth="10" defaultColWidth="11.1640625" defaultRowHeight="16" x14ac:dyDescent="0.2"/>
  <cols>
    <col min="1" max="1" width="26.5" customWidth="1"/>
    <col min="7" max="7" width="7.6640625" customWidth="1"/>
  </cols>
  <sheetData>
    <row r="1" spans="1:7" ht="21" x14ac:dyDescent="0.25">
      <c r="A1" s="109" t="s">
        <v>14</v>
      </c>
      <c r="B1" s="109"/>
      <c r="C1" s="109"/>
      <c r="D1" s="109"/>
      <c r="E1" s="109"/>
      <c r="F1" s="109"/>
      <c r="G1" s="109"/>
    </row>
    <row r="2" spans="1:7" ht="32" x14ac:dyDescent="0.2">
      <c r="A2" s="4" t="s">
        <v>19</v>
      </c>
      <c r="B2" s="1">
        <v>6</v>
      </c>
    </row>
    <row r="3" spans="1:7" x14ac:dyDescent="0.2">
      <c r="A3" s="1" t="s">
        <v>7</v>
      </c>
      <c r="B3" s="1">
        <v>381</v>
      </c>
    </row>
    <row r="4" spans="1:7" x14ac:dyDescent="0.2">
      <c r="A4" s="1" t="s">
        <v>11</v>
      </c>
      <c r="B4" s="19">
        <f>((B2/1000)/(B3*660))*(1*10^9)</f>
        <v>23.860653781913626</v>
      </c>
      <c r="C4" s="18" t="s">
        <v>12</v>
      </c>
    </row>
    <row r="5" spans="1:7" x14ac:dyDescent="0.2">
      <c r="A5" s="1" t="s">
        <v>20</v>
      </c>
      <c r="B5" s="1">
        <v>20</v>
      </c>
    </row>
    <row r="6" spans="1:7" ht="32" x14ac:dyDescent="0.2">
      <c r="A6" s="4" t="s">
        <v>13</v>
      </c>
      <c r="B6" s="1">
        <v>10</v>
      </c>
    </row>
    <row r="7" spans="1:7" ht="46.25" customHeight="1" x14ac:dyDescent="0.2">
      <c r="A7" s="108" t="s">
        <v>23</v>
      </c>
      <c r="B7" s="108"/>
      <c r="C7" s="108"/>
      <c r="D7" s="108"/>
      <c r="E7" s="108"/>
      <c r="F7" s="108"/>
      <c r="G7" s="108"/>
    </row>
    <row r="8" spans="1:7" x14ac:dyDescent="0.2">
      <c r="A8" s="1" t="s">
        <v>21</v>
      </c>
      <c r="B8" s="5">
        <f>B6*B5/B4</f>
        <v>8.3819999999999997</v>
      </c>
    </row>
    <row r="9" spans="1:7" ht="29" customHeight="1" x14ac:dyDescent="0.2">
      <c r="A9" s="4" t="s">
        <v>22</v>
      </c>
      <c r="B9" s="5">
        <f>B5-B8</f>
        <v>11.618</v>
      </c>
    </row>
  </sheetData>
  <mergeCells count="2">
    <mergeCell ref="A7:G7"/>
    <mergeCell ref="A1:G1"/>
  </mergeCells>
  <phoneticPr fontId="5" type="noConversion"/>
  <pageMargins left="0.25" right="0.25" top="0.75" bottom="0.75" header="0.3" footer="0.3"/>
  <pageSetup orientation="portrait" horizontalDpi="4294967292" verticalDpi="4294967292" r:id="rId1"/>
  <headerFooter>
    <oddHeader>&amp;LFILEPATH:_x000D_Sheet:&amp;R&amp;Z&amp;F_x000D_&amp;A</oddHeader>
  </headerFooter>
  <extLst>
    <ext xmlns:mx="http://schemas.microsoft.com/office/mac/excel/2008/main" uri="{64002731-A6B0-56B0-2670-7721B7C09600}">
      <mx:PLV Mode="1" OnePage="0" WScale="10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Picogreen Results</vt:lpstr>
      <vt:lpstr>Intermediate Results</vt:lpstr>
      <vt:lpstr>Amplicon Pooling</vt:lpstr>
      <vt:lpstr>Final Sample Prep</vt:lpstr>
    </vt:vector>
  </TitlesOfParts>
  <Company>University of Florida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Caitlin Murdoch</dc:creator>
  <cp:lastModifiedBy>Justin Silverman</cp:lastModifiedBy>
  <cp:lastPrinted>2017-08-02T15:41:16Z</cp:lastPrinted>
  <dcterms:created xsi:type="dcterms:W3CDTF">2014-03-09T16:36:01Z</dcterms:created>
  <dcterms:modified xsi:type="dcterms:W3CDTF">2017-10-13T14:00:38Z</dcterms:modified>
</cp:coreProperties>
</file>